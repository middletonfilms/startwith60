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ehme/Desktop/Startwith60/"/>
    </mc:Choice>
  </mc:AlternateContent>
  <xr:revisionPtr revIDLastSave="0" documentId="13_ncr:1_{AB7EA142-367B-EE46-B733-E9E30B71BBA7}" xr6:coauthVersionLast="47" xr6:coauthVersionMax="47" xr10:uidLastSave="{00000000-0000-0000-0000-000000000000}"/>
  <bookViews>
    <workbookView xWindow="0" yWindow="500" windowWidth="28800" windowHeight="17500" xr2:uid="{505DCF09-6C29-DD47-9DAD-F856CC61BE26}"/>
  </bookViews>
  <sheets>
    <sheet name="LI_RATES" sheetId="12" r:id="rId1"/>
  </sheets>
  <definedNames>
    <definedName name="Age">#REF!</definedName>
    <definedName name="Budg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2" l="1" a="1"/>
  <c r="S5" i="12" s="1"/>
  <c r="X23" i="12" a="1"/>
  <c r="X23" i="12" s="1"/>
  <c r="W23" i="12" a="1"/>
  <c r="W23" i="12" s="1"/>
  <c r="Z23" i="12" a="1"/>
  <c r="Z23" i="12" s="1"/>
  <c r="Y23" i="12" a="1"/>
  <c r="Y23" i="12" s="1"/>
  <c r="T23" i="12" a="1"/>
  <c r="T23" i="12" s="1"/>
  <c r="U5" i="12" a="1"/>
  <c r="U5" i="12" s="1"/>
  <c r="T5" i="12" a="1"/>
  <c r="T5" i="12" s="1"/>
  <c r="S23" i="12" a="1"/>
  <c r="S23" i="12" s="1"/>
  <c r="V5" i="12" a="1"/>
  <c r="V5" i="12" s="1"/>
  <c r="I5" i="12"/>
  <c r="E5" i="12"/>
  <c r="E23" i="12"/>
  <c r="E22" i="12"/>
  <c r="E21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C23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G85" i="12"/>
  <c r="G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K4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K23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<sst xmlns="http://schemas.openxmlformats.org/spreadsheetml/2006/main" count="52" uniqueCount="23">
  <si>
    <t>AGE</t>
  </si>
  <si>
    <t>FEMALE</t>
  </si>
  <si>
    <t>MALE</t>
  </si>
  <si>
    <t>M</t>
  </si>
  <si>
    <t>F</t>
  </si>
  <si>
    <t>REGULAR</t>
  </si>
  <si>
    <t>PREFERRED</t>
  </si>
  <si>
    <t>SELECT</t>
  </si>
  <si>
    <t>EXECUTIVE</t>
  </si>
  <si>
    <t>10 YEAR TERM</t>
  </si>
  <si>
    <t>TERM</t>
  </si>
  <si>
    <t>MALE RATE PER 1000</t>
  </si>
  <si>
    <t>MALE BAND CUTOFF</t>
  </si>
  <si>
    <t>FEMALE RATE PER 1000</t>
  </si>
  <si>
    <t>FEMALE BAND CUTOFF</t>
  </si>
  <si>
    <t>CUSTOM DEATH BENEFIT</t>
  </si>
  <si>
    <t>CUSTOM PREMIUM</t>
  </si>
  <si>
    <t>MINOR DB FLOOR</t>
  </si>
  <si>
    <t>ADULT DB FLOOR</t>
  </si>
  <si>
    <t>MINOR DB CEILING</t>
  </si>
  <si>
    <t>ADULT DB CEILING</t>
  </si>
  <si>
    <t>WHOLE LIFE</t>
  </si>
  <si>
    <t>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</si>
</sst>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0" tint="-0.1499984740745262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3FA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10" xfId="0" applyBorder="1"/>
    <xf numFmtId="0" fontId="0" fillId="0" borderId="0" xfId="0" applyBorder="1"/>
    <xf numFmtId="2" fontId="0" fillId="0" borderId="0" xfId="0" applyNumberFormat="1" applyBorder="1"/>
    <xf numFmtId="2" fontId="0" fillId="0" borderId="5" xfId="0" applyNumberFormat="1" applyBorder="1"/>
    <xf numFmtId="2" fontId="0" fillId="0" borderId="11" xfId="0" applyNumberFormat="1" applyBorder="1"/>
    <xf numFmtId="2" fontId="0" fillId="4" borderId="11" xfId="0" applyNumberFormat="1" applyFill="1" applyBorder="1"/>
    <xf numFmtId="2" fontId="0" fillId="4" borderId="6" xfId="0" applyNumberFormat="1" applyFill="1" applyBorder="1"/>
    <xf numFmtId="2" fontId="0" fillId="4" borderId="5" xfId="0" applyNumberFormat="1" applyFill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2" fontId="0" fillId="4" borderId="7" xfId="0" applyNumberFormat="1" applyFill="1" applyBorder="1"/>
    <xf numFmtId="2" fontId="0" fillId="4" borderId="9" xfId="0" applyNumberFormat="1" applyFill="1" applyBorder="1"/>
    <xf numFmtId="0" fontId="0" fillId="2" borderId="0" xfId="0" applyFill="1" applyBorder="1"/>
    <xf numFmtId="2" fontId="0" fillId="2" borderId="0" xfId="0" applyNumberFormat="1" applyFill="1" applyBorder="1"/>
    <xf numFmtId="2" fontId="0" fillId="2" borderId="8" xfId="0" applyNumberFormat="1" applyFill="1" applyBorder="1"/>
    <xf numFmtId="0" fontId="0" fillId="6" borderId="0" xfId="0" applyFill="1" applyBorder="1"/>
    <xf numFmtId="2" fontId="0" fillId="6" borderId="0" xfId="0" applyNumberFormat="1" applyFill="1" applyBorder="1"/>
    <xf numFmtId="2" fontId="0" fillId="6" borderId="8" xfId="0" applyNumberFormat="1" applyFill="1" applyBorder="1"/>
    <xf numFmtId="1" fontId="1" fillId="6" borderId="0" xfId="0" applyNumberFormat="1" applyFont="1" applyFill="1" applyBorder="1"/>
    <xf numFmtId="1" fontId="1" fillId="2" borderId="0" xfId="0" applyNumberFormat="1" applyFont="1" applyFill="1" applyBorder="1"/>
    <xf numFmtId="2" fontId="4" fillId="0" borderId="2" xfId="0" applyNumberFormat="1" applyFont="1" applyBorder="1"/>
    <xf numFmtId="2" fontId="4" fillId="0" borderId="3" xfId="0" applyNumberFormat="1" applyFont="1" applyBorder="1"/>
    <xf numFmtId="2" fontId="4" fillId="0" borderId="5" xfId="0" applyNumberFormat="1" applyFont="1" applyBorder="1"/>
    <xf numFmtId="2" fontId="4" fillId="0" borderId="0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0" fontId="0" fillId="0" borderId="8" xfId="0" applyBorder="1"/>
    <xf numFmtId="2" fontId="0" fillId="0" borderId="2" xfId="0" applyNumberFormat="1" applyBorder="1"/>
    <xf numFmtId="2" fontId="0" fillId="0" borderId="3" xfId="0" applyNumberFormat="1" applyBorder="1"/>
    <xf numFmtId="0" fontId="2" fillId="0" borderId="2" xfId="0" applyFont="1" applyBorder="1"/>
    <xf numFmtId="0" fontId="2" fillId="0" borderId="3" xfId="0" applyFont="1" applyBorder="1"/>
    <xf numFmtId="0" fontId="0" fillId="0" borderId="7" xfId="0" applyBorder="1"/>
    <xf numFmtId="0" fontId="2" fillId="0" borderId="13" xfId="0" applyFont="1" applyBorder="1"/>
    <xf numFmtId="0" fontId="2" fillId="3" borderId="0" xfId="0" applyFont="1" applyFill="1"/>
    <xf numFmtId="0" fontId="0" fillId="3" borderId="0" xfId="0" applyFill="1"/>
    <xf numFmtId="2" fontId="2" fillId="3" borderId="14" xfId="0" applyNumberFormat="1" applyFont="1" applyFill="1" applyBorder="1"/>
    <xf numFmtId="165" fontId="0" fillId="3" borderId="3" xfId="1" applyNumberFormat="1" applyFont="1" applyFill="1" applyBorder="1"/>
    <xf numFmtId="165" fontId="0" fillId="3" borderId="0" xfId="1" applyNumberFormat="1" applyFont="1" applyFill="1" applyBorder="1"/>
    <xf numFmtId="165" fontId="0" fillId="3" borderId="0" xfId="0" applyNumberFormat="1" applyFill="1" applyBorder="1"/>
    <xf numFmtId="165" fontId="0" fillId="3" borderId="8" xfId="1" applyNumberFormat="1" applyFont="1" applyFill="1" applyBorder="1"/>
    <xf numFmtId="165" fontId="0" fillId="3" borderId="8" xfId="0" applyNumberFormat="1" applyFill="1" applyBorder="1"/>
    <xf numFmtId="165" fontId="0" fillId="3" borderId="3" xfId="0" applyNumberFormat="1" applyFill="1" applyBorder="1"/>
    <xf numFmtId="0" fontId="2" fillId="3" borderId="3" xfId="0" applyFont="1" applyFill="1" applyBorder="1"/>
    <xf numFmtId="2" fontId="2" fillId="3" borderId="4" xfId="0" applyNumberFormat="1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  <xf numFmtId="165" fontId="0" fillId="3" borderId="6" xfId="1" applyNumberFormat="1" applyFont="1" applyFill="1" applyBorder="1"/>
    <xf numFmtId="0" fontId="2" fillId="0" borderId="7" xfId="0" applyFont="1" applyBorder="1"/>
    <xf numFmtId="0" fontId="2" fillId="3" borderId="8" xfId="0" applyFont="1" applyFill="1" applyBorder="1"/>
    <xf numFmtId="0" fontId="2" fillId="5" borderId="1" xfId="0" applyFont="1" applyFill="1" applyBorder="1" applyAlignment="1">
      <alignment horizontal="center"/>
    </xf>
    <xf numFmtId="0" fontId="0" fillId="0" borderId="0" xfId="0" quotePrefix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3FA"/>
      <color rgb="FFF0FFF4"/>
      <color rgb="FFEBF9EA"/>
      <color rgb="FFE4FEFF"/>
      <color rgb="FFE4F2FF"/>
      <color rgb="FFFCFFA3"/>
      <color rgb="FFF3F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4F07-FB84-BF48-9340-8001192DAECC}">
  <dimension ref="A1:Z85"/>
  <sheetViews>
    <sheetView tabSelected="1" zoomScale="115" workbookViewId="0">
      <selection activeCell="H15" sqref="H15"/>
    </sheetView>
  </sheetViews>
  <sheetFormatPr baseColWidth="10" defaultRowHeight="16" x14ac:dyDescent="0.2"/>
  <cols>
    <col min="1" max="1" width="6" customWidth="1"/>
    <col min="13" max="13" width="8.83203125" customWidth="1"/>
    <col min="19" max="19" width="13.1640625" customWidth="1"/>
    <col min="20" max="20" width="12" customWidth="1"/>
    <col min="21" max="21" width="13.83203125" customWidth="1"/>
    <col min="22" max="22" width="11.83203125" customWidth="1"/>
    <col min="25" max="25" width="11.33203125" customWidth="1"/>
    <col min="26" max="26" width="11.1640625" customWidth="1"/>
  </cols>
  <sheetData>
    <row r="1" spans="1:26" x14ac:dyDescent="0.2">
      <c r="B1" t="s">
        <v>17</v>
      </c>
      <c r="C1">
        <v>0</v>
      </c>
      <c r="D1" t="s">
        <v>19</v>
      </c>
      <c r="E1">
        <v>15099</v>
      </c>
      <c r="F1" t="s">
        <v>17</v>
      </c>
      <c r="G1">
        <v>15100</v>
      </c>
      <c r="H1" t="s">
        <v>19</v>
      </c>
      <c r="I1">
        <v>59999</v>
      </c>
      <c r="J1" t="s">
        <v>17</v>
      </c>
      <c r="K1">
        <v>60000</v>
      </c>
      <c r="L1" t="s">
        <v>19</v>
      </c>
      <c r="M1">
        <v>9999999</v>
      </c>
      <c r="N1" t="s">
        <v>17</v>
      </c>
      <c r="O1">
        <v>9999999</v>
      </c>
      <c r="S1" t="s">
        <v>21</v>
      </c>
      <c r="W1" t="s">
        <v>10</v>
      </c>
    </row>
    <row r="2" spans="1:26" ht="17" thickBot="1" x14ac:dyDescent="0.25">
      <c r="B2" t="s">
        <v>18</v>
      </c>
      <c r="C2">
        <v>0</v>
      </c>
      <c r="D2" t="s">
        <v>20</v>
      </c>
      <c r="E2">
        <v>34999</v>
      </c>
      <c r="F2" t="s">
        <v>18</v>
      </c>
      <c r="G2">
        <v>35000</v>
      </c>
      <c r="H2" t="s">
        <v>20</v>
      </c>
      <c r="I2">
        <v>59999</v>
      </c>
      <c r="J2" t="s">
        <v>18</v>
      </c>
      <c r="K2">
        <v>60000</v>
      </c>
      <c r="L2" t="s">
        <v>20</v>
      </c>
      <c r="M2">
        <v>119999</v>
      </c>
      <c r="N2" t="s">
        <v>18</v>
      </c>
      <c r="O2">
        <v>120000</v>
      </c>
      <c r="S2" t="s">
        <v>15</v>
      </c>
      <c r="U2" s="43" t="s">
        <v>16</v>
      </c>
      <c r="V2" s="44"/>
      <c r="W2" t="s">
        <v>15</v>
      </c>
      <c r="X2" s="6"/>
      <c r="Y2" s="43" t="s">
        <v>16</v>
      </c>
      <c r="Z2" s="44"/>
    </row>
    <row r="3" spans="1:26" ht="17" thickBot="1" x14ac:dyDescent="0.25">
      <c r="A3" s="6" t="s">
        <v>0</v>
      </c>
      <c r="B3" s="1" t="s">
        <v>5</v>
      </c>
      <c r="C3" s="2"/>
      <c r="D3" s="2"/>
      <c r="E3" s="2"/>
      <c r="F3" s="7" t="s">
        <v>6</v>
      </c>
      <c r="G3" s="2"/>
      <c r="H3" s="2"/>
      <c r="I3" s="2"/>
      <c r="J3" s="7" t="s">
        <v>8</v>
      </c>
      <c r="K3" s="2"/>
      <c r="L3" s="2"/>
      <c r="M3" s="2"/>
      <c r="N3" s="7" t="s">
        <v>7</v>
      </c>
      <c r="O3" s="3"/>
      <c r="P3" s="1" t="s">
        <v>9</v>
      </c>
      <c r="Q3" s="3"/>
      <c r="S3" s="63">
        <v>60000</v>
      </c>
      <c r="U3" s="63">
        <v>100</v>
      </c>
      <c r="V3" s="44"/>
      <c r="W3" s="64" t="s">
        <v>22</v>
      </c>
      <c r="Y3" s="44" t="s">
        <v>22</v>
      </c>
      <c r="Z3" s="43"/>
    </row>
    <row r="4" spans="1:26" ht="17" thickBot="1" x14ac:dyDescent="0.25">
      <c r="B4" s="4" t="s">
        <v>11</v>
      </c>
      <c r="C4" s="22" t="s">
        <v>12</v>
      </c>
      <c r="D4" s="8" t="s">
        <v>13</v>
      </c>
      <c r="E4" s="25" t="s">
        <v>14</v>
      </c>
      <c r="F4" s="4" t="s">
        <v>11</v>
      </c>
      <c r="G4" s="22" t="s">
        <v>12</v>
      </c>
      <c r="H4" s="8" t="s">
        <v>13</v>
      </c>
      <c r="I4" s="25" t="s">
        <v>14</v>
      </c>
      <c r="J4" s="4" t="s">
        <v>11</v>
      </c>
      <c r="K4" s="22" t="s">
        <v>12</v>
      </c>
      <c r="L4" s="8" t="s">
        <v>13</v>
      </c>
      <c r="M4" s="25" t="s">
        <v>14</v>
      </c>
      <c r="N4" s="4" t="s">
        <v>11</v>
      </c>
      <c r="O4" s="8" t="s">
        <v>13</v>
      </c>
      <c r="P4" s="4" t="s">
        <v>3</v>
      </c>
      <c r="Q4" s="5" t="s">
        <v>4</v>
      </c>
      <c r="S4" s="61" t="s">
        <v>2</v>
      </c>
      <c r="T4" s="42" t="s">
        <v>1</v>
      </c>
      <c r="U4" s="62" t="s">
        <v>2</v>
      </c>
      <c r="V4" s="45" t="s">
        <v>1</v>
      </c>
      <c r="W4" s="39" t="s">
        <v>2</v>
      </c>
      <c r="X4" s="40" t="s">
        <v>1</v>
      </c>
      <c r="Y4" s="52" t="s">
        <v>2</v>
      </c>
      <c r="Z4" s="53" t="s">
        <v>1</v>
      </c>
    </row>
    <row r="5" spans="1:26" x14ac:dyDescent="0.2">
      <c r="A5">
        <v>0</v>
      </c>
      <c r="B5" s="10">
        <v>0.40799999999999997</v>
      </c>
      <c r="C5" s="23">
        <f>F5*15.1</f>
        <v>5.2608400000000008</v>
      </c>
      <c r="D5" s="9">
        <v>0.36799999999999999</v>
      </c>
      <c r="E5" s="26">
        <f>H5*15.1</f>
        <v>4.73536</v>
      </c>
      <c r="F5" s="11">
        <v>0.34840000000000004</v>
      </c>
      <c r="G5" s="23">
        <f>J5*60</f>
        <v>18.600000000000001</v>
      </c>
      <c r="H5" s="9">
        <v>0.31359999999999999</v>
      </c>
      <c r="I5" s="26">
        <f>L5*60</f>
        <v>16.7</v>
      </c>
      <c r="J5" s="11">
        <v>0.31</v>
      </c>
      <c r="K5" s="29">
        <v>9999999</v>
      </c>
      <c r="L5" s="9">
        <v>0.27833333333333332</v>
      </c>
      <c r="M5" s="28">
        <v>9999999</v>
      </c>
      <c r="N5" s="12"/>
      <c r="O5" s="13"/>
      <c r="P5" s="14"/>
      <c r="Q5" s="13"/>
      <c r="S5" s="30" cm="1">
        <f t="array" ref="S5:S22">_xlfn.IFS($S$3&lt;$G$1,B$5:B$22,$S$3&lt;$K$1,F$5:F$22,$S$3&gt;=$K$1,J$5:J$22)*($S$3/1000)</f>
        <v>18.600000000000001</v>
      </c>
      <c r="T5" s="31" cm="1">
        <f t="array" ref="T5:T22">_xlfn.IFS($S$3&lt;$G$1,D$5:D$22,$S$3&lt;$K$1,H$5:H$22,$S$3&gt;=$K$1,L$5:L$22)*($S$3/1000)</f>
        <v>16.7</v>
      </c>
      <c r="U5" s="46" cm="1">
        <f t="array" ref="U5:U85">($U$3/_xlfn.IFS($U$3&lt;C$5:C$85,B$5:B$85,$U$3&lt;G$5:G$85,F$5:F$85,$U$3&lt;K$5:K$85,J$5:J$85,$U$3&gt;=K$5:K$85,N$5:N$85))*1000</f>
        <v>322580.6451612903</v>
      </c>
      <c r="V5" s="46" cm="1">
        <f t="array" ref="V5:V85">($U$3/_xlfn.IFS($U$3&lt;E$5:E$85,D$5:D$85,$U$3&lt;I$5:I$85,H$5:H$85,$U$3&lt;M$5:M$85,L$5:L$85,$U$3&gt;=M$5:M$85,O$5:O$85))*1000</f>
        <v>359281.43712574855</v>
      </c>
      <c r="W5" s="1"/>
      <c r="X5" s="2"/>
      <c r="Y5" s="54"/>
      <c r="Z5" s="55"/>
    </row>
    <row r="6" spans="1:26" x14ac:dyDescent="0.2">
      <c r="A6">
        <f>A5+1</f>
        <v>1</v>
      </c>
      <c r="B6" s="10">
        <v>0.42800000000000005</v>
      </c>
      <c r="C6" s="23">
        <f t="shared" ref="C6:C23" si="0">F6*15.1</f>
        <v>5.5145200000000001</v>
      </c>
      <c r="D6" s="9">
        <v>0.38300000000000001</v>
      </c>
      <c r="E6" s="26">
        <f t="shared" ref="E6:E22" si="1">H6*15.1</f>
        <v>4.9588400000000004</v>
      </c>
      <c r="F6" s="11">
        <v>0.36520000000000002</v>
      </c>
      <c r="G6" s="23">
        <f t="shared" ref="E6:I69" si="2">J6*60</f>
        <v>19.5</v>
      </c>
      <c r="H6" s="9">
        <v>0.32840000000000003</v>
      </c>
      <c r="I6" s="26">
        <f t="shared" si="2"/>
        <v>17.5</v>
      </c>
      <c r="J6" s="11">
        <v>0.32500000000000001</v>
      </c>
      <c r="K6" s="29">
        <v>9999999</v>
      </c>
      <c r="L6" s="9">
        <v>0.29166666666666669</v>
      </c>
      <c r="M6" s="28">
        <v>9999999</v>
      </c>
      <c r="N6" s="12"/>
      <c r="O6" s="13"/>
      <c r="P6" s="14"/>
      <c r="Q6" s="13"/>
      <c r="S6" s="32">
        <v>19.5</v>
      </c>
      <c r="T6" s="33">
        <v>17.5</v>
      </c>
      <c r="U6" s="47">
        <v>307692.30769230769</v>
      </c>
      <c r="V6" s="48">
        <v>342857.14285714284</v>
      </c>
      <c r="W6" s="4"/>
      <c r="X6" s="8"/>
      <c r="Y6" s="56"/>
      <c r="Z6" s="57"/>
    </row>
    <row r="7" spans="1:26" x14ac:dyDescent="0.2">
      <c r="A7">
        <f t="shared" ref="A7:A70" si="3">A6+1</f>
        <v>2</v>
      </c>
      <c r="B7" s="10">
        <v>0.44699999999999995</v>
      </c>
      <c r="C7" s="23">
        <f t="shared" si="0"/>
        <v>5.7561199999999992</v>
      </c>
      <c r="D7" s="9">
        <v>0.4</v>
      </c>
      <c r="E7" s="26">
        <f t="shared" si="1"/>
        <v>5.1642000000000001</v>
      </c>
      <c r="F7" s="11">
        <v>0.38119999999999998</v>
      </c>
      <c r="G7" s="23">
        <f t="shared" si="2"/>
        <v>20.3</v>
      </c>
      <c r="H7" s="9">
        <v>0.34200000000000003</v>
      </c>
      <c r="I7" s="26">
        <f t="shared" si="2"/>
        <v>18.25</v>
      </c>
      <c r="J7" s="11">
        <v>0.33833333333333332</v>
      </c>
      <c r="K7" s="29">
        <v>9999999</v>
      </c>
      <c r="L7" s="9">
        <v>0.30416666666666664</v>
      </c>
      <c r="M7" s="28">
        <v>9999999</v>
      </c>
      <c r="N7" s="12"/>
      <c r="O7" s="13"/>
      <c r="P7" s="14"/>
      <c r="Q7" s="13"/>
      <c r="S7" s="32">
        <v>20.3</v>
      </c>
      <c r="T7" s="33">
        <v>18.25</v>
      </c>
      <c r="U7" s="47">
        <v>295566.5024630542</v>
      </c>
      <c r="V7" s="48">
        <v>328767.12328767125</v>
      </c>
      <c r="W7" s="4"/>
      <c r="X7" s="8"/>
      <c r="Y7" s="56"/>
      <c r="Z7" s="57"/>
    </row>
    <row r="8" spans="1:26" x14ac:dyDescent="0.2">
      <c r="A8">
        <f t="shared" si="3"/>
        <v>3</v>
      </c>
      <c r="B8" s="10">
        <v>0.46799999999999997</v>
      </c>
      <c r="C8" s="23">
        <f t="shared" si="0"/>
        <v>6.0279199999999999</v>
      </c>
      <c r="D8" s="9">
        <v>0.42000000000000004</v>
      </c>
      <c r="E8" s="26">
        <f t="shared" si="1"/>
        <v>5.3756000000000004</v>
      </c>
      <c r="F8" s="11">
        <v>0.3992</v>
      </c>
      <c r="G8" s="23">
        <f t="shared" si="2"/>
        <v>21.25</v>
      </c>
      <c r="H8" s="9">
        <v>0.35600000000000004</v>
      </c>
      <c r="I8" s="26">
        <f t="shared" si="2"/>
        <v>19</v>
      </c>
      <c r="J8" s="11">
        <v>0.35416666666666669</v>
      </c>
      <c r="K8" s="29">
        <v>9999999</v>
      </c>
      <c r="L8" s="9">
        <v>0.31666666666666665</v>
      </c>
      <c r="M8" s="28">
        <v>9999999</v>
      </c>
      <c r="N8" s="12"/>
      <c r="O8" s="13"/>
      <c r="P8" s="14"/>
      <c r="Q8" s="13"/>
      <c r="S8" s="32">
        <v>21.25</v>
      </c>
      <c r="T8" s="33">
        <v>19</v>
      </c>
      <c r="U8" s="47">
        <v>282352.94117647054</v>
      </c>
      <c r="V8" s="48">
        <v>315789.4736842105</v>
      </c>
      <c r="W8" s="4"/>
      <c r="X8" s="8"/>
      <c r="Y8" s="56"/>
      <c r="Z8" s="57"/>
    </row>
    <row r="9" spans="1:26" x14ac:dyDescent="0.2">
      <c r="A9">
        <f t="shared" si="3"/>
        <v>4</v>
      </c>
      <c r="B9" s="10">
        <v>0.48799999999999999</v>
      </c>
      <c r="C9" s="23">
        <f t="shared" si="0"/>
        <v>6.3057599999999994</v>
      </c>
      <c r="D9" s="9">
        <v>0.44000000000000006</v>
      </c>
      <c r="E9" s="26">
        <f t="shared" si="1"/>
        <v>5.6413599999999997</v>
      </c>
      <c r="F9" s="11">
        <v>0.41759999999999997</v>
      </c>
      <c r="G9" s="23">
        <f t="shared" si="2"/>
        <v>22.299999999999997</v>
      </c>
      <c r="H9" s="9">
        <v>0.37359999999999999</v>
      </c>
      <c r="I9" s="26">
        <f t="shared" si="2"/>
        <v>19.950000000000003</v>
      </c>
      <c r="J9" s="11">
        <v>0.37166666666666665</v>
      </c>
      <c r="K9" s="29">
        <v>9999999</v>
      </c>
      <c r="L9" s="9">
        <v>0.33250000000000002</v>
      </c>
      <c r="M9" s="28">
        <v>9999999</v>
      </c>
      <c r="N9" s="12"/>
      <c r="O9" s="13"/>
      <c r="P9" s="14"/>
      <c r="Q9" s="13"/>
      <c r="S9" s="32">
        <v>22.299999999999997</v>
      </c>
      <c r="T9" s="33">
        <v>19.950000000000003</v>
      </c>
      <c r="U9" s="47">
        <v>269058.2959641256</v>
      </c>
      <c r="V9" s="48">
        <v>300751.87969924812</v>
      </c>
      <c r="W9" s="4"/>
      <c r="X9" s="8"/>
      <c r="Y9" s="56"/>
      <c r="Z9" s="57"/>
    </row>
    <row r="10" spans="1:26" x14ac:dyDescent="0.2">
      <c r="A10">
        <f t="shared" si="3"/>
        <v>5</v>
      </c>
      <c r="B10" s="10">
        <v>0.51300000000000001</v>
      </c>
      <c r="C10" s="23">
        <f t="shared" si="0"/>
        <v>6.6077599999999999</v>
      </c>
      <c r="D10" s="9">
        <v>0.46100000000000002</v>
      </c>
      <c r="E10" s="26">
        <f t="shared" si="1"/>
        <v>5.9071199999999999</v>
      </c>
      <c r="F10" s="11">
        <v>0.43759999999999999</v>
      </c>
      <c r="G10" s="23">
        <f t="shared" si="2"/>
        <v>23.35</v>
      </c>
      <c r="H10" s="9">
        <v>0.39119999999999999</v>
      </c>
      <c r="I10" s="26">
        <f t="shared" si="2"/>
        <v>20.95</v>
      </c>
      <c r="J10" s="11">
        <v>0.38916666666666666</v>
      </c>
      <c r="K10" s="29">
        <v>9999999</v>
      </c>
      <c r="L10" s="9">
        <v>0.34916666666666668</v>
      </c>
      <c r="M10" s="28">
        <v>9999999</v>
      </c>
      <c r="N10" s="12"/>
      <c r="O10" s="13"/>
      <c r="P10" s="14"/>
      <c r="Q10" s="13"/>
      <c r="S10" s="32">
        <v>23.35</v>
      </c>
      <c r="T10" s="33">
        <v>20.95</v>
      </c>
      <c r="U10" s="47">
        <v>256959.31477516057</v>
      </c>
      <c r="V10" s="48">
        <v>286396.18138424825</v>
      </c>
      <c r="W10" s="4"/>
      <c r="X10" s="8"/>
      <c r="Y10" s="56"/>
      <c r="Z10" s="57"/>
    </row>
    <row r="11" spans="1:26" x14ac:dyDescent="0.2">
      <c r="A11">
        <f t="shared" si="3"/>
        <v>6</v>
      </c>
      <c r="B11" s="10">
        <v>0.53800000000000003</v>
      </c>
      <c r="C11" s="23">
        <f t="shared" si="0"/>
        <v>6.9097600000000003</v>
      </c>
      <c r="D11" s="9">
        <v>0.48099999999999998</v>
      </c>
      <c r="E11" s="26">
        <f t="shared" si="1"/>
        <v>6.1909999999999998</v>
      </c>
      <c r="F11" s="11">
        <v>0.45760000000000001</v>
      </c>
      <c r="G11" s="23">
        <f t="shared" si="2"/>
        <v>24.45</v>
      </c>
      <c r="H11" s="9">
        <v>0.41</v>
      </c>
      <c r="I11" s="26">
        <f t="shared" si="2"/>
        <v>22</v>
      </c>
      <c r="J11" s="11">
        <v>0.40749999999999997</v>
      </c>
      <c r="K11" s="29">
        <v>9999999</v>
      </c>
      <c r="L11" s="9">
        <v>0.3666666666666667</v>
      </c>
      <c r="M11" s="28">
        <v>9999999</v>
      </c>
      <c r="N11" s="12"/>
      <c r="O11" s="13"/>
      <c r="P11" s="14"/>
      <c r="Q11" s="13"/>
      <c r="S11" s="32">
        <v>24.45</v>
      </c>
      <c r="T11" s="33">
        <v>22</v>
      </c>
      <c r="U11" s="47">
        <v>245398.77300613499</v>
      </c>
      <c r="V11" s="48">
        <v>272727.27272727271</v>
      </c>
      <c r="W11" s="4"/>
      <c r="X11" s="8"/>
      <c r="Y11" s="56"/>
      <c r="Z11" s="57"/>
    </row>
    <row r="12" spans="1:26" x14ac:dyDescent="0.2">
      <c r="A12">
        <f t="shared" si="3"/>
        <v>7</v>
      </c>
      <c r="B12" s="10">
        <v>0.56299999999999994</v>
      </c>
      <c r="C12" s="23">
        <f t="shared" si="0"/>
        <v>7.2359200000000001</v>
      </c>
      <c r="D12" s="9">
        <v>0.505</v>
      </c>
      <c r="E12" s="26">
        <f t="shared" si="1"/>
        <v>6.4929999999999994</v>
      </c>
      <c r="F12" s="11">
        <v>0.47920000000000001</v>
      </c>
      <c r="G12" s="23">
        <f t="shared" si="2"/>
        <v>25.6</v>
      </c>
      <c r="H12" s="9">
        <v>0.43</v>
      </c>
      <c r="I12" s="26">
        <f t="shared" si="2"/>
        <v>22.9</v>
      </c>
      <c r="J12" s="11">
        <v>0.42666666666666669</v>
      </c>
      <c r="K12" s="29">
        <v>9999999</v>
      </c>
      <c r="L12" s="9">
        <v>0.38166666666666665</v>
      </c>
      <c r="M12" s="28">
        <v>9999999</v>
      </c>
      <c r="N12" s="12"/>
      <c r="O12" s="13"/>
      <c r="P12" s="14"/>
      <c r="Q12" s="13"/>
      <c r="S12" s="32">
        <v>25.6</v>
      </c>
      <c r="T12" s="33">
        <v>22.9</v>
      </c>
      <c r="U12" s="47">
        <v>234374.99999999997</v>
      </c>
      <c r="V12" s="48">
        <v>262008.73362445418</v>
      </c>
      <c r="W12" s="4"/>
      <c r="X12" s="8"/>
      <c r="Y12" s="56"/>
      <c r="Z12" s="57"/>
    </row>
    <row r="13" spans="1:26" x14ac:dyDescent="0.2">
      <c r="A13">
        <f t="shared" si="3"/>
        <v>8</v>
      </c>
      <c r="B13" s="10">
        <v>0.59000000000000008</v>
      </c>
      <c r="C13" s="23">
        <f t="shared" si="0"/>
        <v>7.5801999999999996</v>
      </c>
      <c r="D13" s="9">
        <v>0.52900000000000003</v>
      </c>
      <c r="E13" s="26">
        <f t="shared" si="1"/>
        <v>6.8251999999999997</v>
      </c>
      <c r="F13" s="11">
        <v>0.502</v>
      </c>
      <c r="G13" s="23">
        <f t="shared" si="2"/>
        <v>26.9</v>
      </c>
      <c r="H13" s="9">
        <v>0.45200000000000001</v>
      </c>
      <c r="I13" s="26">
        <f t="shared" si="2"/>
        <v>24.05</v>
      </c>
      <c r="J13" s="11">
        <v>0.44833333333333331</v>
      </c>
      <c r="K13" s="29">
        <v>9999999</v>
      </c>
      <c r="L13" s="9">
        <v>0.40083333333333332</v>
      </c>
      <c r="M13" s="28">
        <v>9999999</v>
      </c>
      <c r="N13" s="12"/>
      <c r="O13" s="13"/>
      <c r="P13" s="14"/>
      <c r="Q13" s="13"/>
      <c r="S13" s="32">
        <v>26.9</v>
      </c>
      <c r="T13" s="33">
        <v>24.05</v>
      </c>
      <c r="U13" s="47">
        <v>223048.3271375465</v>
      </c>
      <c r="V13" s="48">
        <v>249480.24948024948</v>
      </c>
      <c r="W13" s="4"/>
      <c r="X13" s="8"/>
      <c r="Y13" s="56"/>
      <c r="Z13" s="57"/>
    </row>
    <row r="14" spans="1:26" x14ac:dyDescent="0.2">
      <c r="A14">
        <f t="shared" si="3"/>
        <v>9</v>
      </c>
      <c r="B14" s="10">
        <v>0.61899999999999999</v>
      </c>
      <c r="C14" s="23">
        <f t="shared" si="0"/>
        <v>7.9546800000000006</v>
      </c>
      <c r="D14" s="9">
        <v>0.55400000000000005</v>
      </c>
      <c r="E14" s="26">
        <f t="shared" si="1"/>
        <v>7.1513600000000004</v>
      </c>
      <c r="F14" s="11">
        <v>0.52680000000000005</v>
      </c>
      <c r="G14" s="23">
        <f t="shared" si="2"/>
        <v>28.150000000000002</v>
      </c>
      <c r="H14" s="9">
        <v>0.47360000000000002</v>
      </c>
      <c r="I14" s="26">
        <f t="shared" si="2"/>
        <v>25.2</v>
      </c>
      <c r="J14" s="11">
        <v>0.46916666666666668</v>
      </c>
      <c r="K14" s="29">
        <v>9999999</v>
      </c>
      <c r="L14" s="9">
        <v>0.42</v>
      </c>
      <c r="M14" s="28">
        <v>9999999</v>
      </c>
      <c r="N14" s="12"/>
      <c r="O14" s="13"/>
      <c r="P14" s="14"/>
      <c r="Q14" s="13"/>
      <c r="S14" s="32">
        <v>28.150000000000002</v>
      </c>
      <c r="T14" s="33">
        <v>25.2</v>
      </c>
      <c r="U14" s="47">
        <v>213143.87211367674</v>
      </c>
      <c r="V14" s="48">
        <v>238095.23809523811</v>
      </c>
      <c r="W14" s="4"/>
      <c r="X14" s="8"/>
      <c r="Y14" s="56"/>
      <c r="Z14" s="57"/>
    </row>
    <row r="15" spans="1:26" x14ac:dyDescent="0.2">
      <c r="A15">
        <f t="shared" si="3"/>
        <v>10</v>
      </c>
      <c r="B15" s="10">
        <v>0.64900000000000002</v>
      </c>
      <c r="C15" s="23">
        <f t="shared" si="0"/>
        <v>8.3593599999999988</v>
      </c>
      <c r="D15" s="9">
        <v>0.58399999999999996</v>
      </c>
      <c r="E15" s="26">
        <f t="shared" si="1"/>
        <v>7.4895999999999994</v>
      </c>
      <c r="F15" s="11">
        <v>0.55359999999999998</v>
      </c>
      <c r="G15" s="23">
        <f t="shared" si="2"/>
        <v>29.5</v>
      </c>
      <c r="H15" s="9">
        <v>0.496</v>
      </c>
      <c r="I15" s="26">
        <f t="shared" si="2"/>
        <v>26.450000000000003</v>
      </c>
      <c r="J15" s="11">
        <v>0.4916666666666667</v>
      </c>
      <c r="K15" s="29">
        <v>9999999</v>
      </c>
      <c r="L15" s="9">
        <v>0.44083333333333335</v>
      </c>
      <c r="M15" s="28">
        <v>9999999</v>
      </c>
      <c r="N15" s="12"/>
      <c r="O15" s="13"/>
      <c r="P15" s="14"/>
      <c r="Q15" s="13"/>
      <c r="S15" s="32">
        <v>29.5</v>
      </c>
      <c r="T15" s="33">
        <v>26.450000000000003</v>
      </c>
      <c r="U15" s="47">
        <v>203389.83050847458</v>
      </c>
      <c r="V15" s="48">
        <v>226843.1001890359</v>
      </c>
      <c r="W15" s="4"/>
      <c r="X15" s="8"/>
      <c r="Y15" s="56"/>
      <c r="Z15" s="57"/>
    </row>
    <row r="16" spans="1:26" x14ac:dyDescent="0.2">
      <c r="A16">
        <f t="shared" si="3"/>
        <v>11</v>
      </c>
      <c r="B16" s="10">
        <v>0.68099999999999994</v>
      </c>
      <c r="C16" s="23">
        <f t="shared" si="0"/>
        <v>8.7579999999999991</v>
      </c>
      <c r="D16" s="9">
        <v>0.61199999999999999</v>
      </c>
      <c r="E16" s="26">
        <f t="shared" si="1"/>
        <v>7.8822000000000001</v>
      </c>
      <c r="F16" s="11">
        <v>0.57999999999999996</v>
      </c>
      <c r="G16" s="23">
        <f t="shared" si="2"/>
        <v>31.049999999999997</v>
      </c>
      <c r="H16" s="9">
        <v>0.52200000000000002</v>
      </c>
      <c r="I16" s="26">
        <f t="shared" si="2"/>
        <v>27.900000000000002</v>
      </c>
      <c r="J16" s="11">
        <v>0.51749999999999996</v>
      </c>
      <c r="K16" s="29">
        <v>9999999</v>
      </c>
      <c r="L16" s="9">
        <v>0.46500000000000002</v>
      </c>
      <c r="M16" s="28">
        <v>9999999</v>
      </c>
      <c r="N16" s="12"/>
      <c r="O16" s="13"/>
      <c r="P16" s="14"/>
      <c r="Q16" s="13"/>
      <c r="S16" s="32">
        <v>31.049999999999997</v>
      </c>
      <c r="T16" s="33">
        <v>27.900000000000002</v>
      </c>
      <c r="U16" s="47">
        <v>193236.71497584542</v>
      </c>
      <c r="V16" s="48">
        <v>215053.7634408602</v>
      </c>
      <c r="W16" s="4"/>
      <c r="X16" s="8"/>
      <c r="Y16" s="56"/>
      <c r="Z16" s="57"/>
    </row>
    <row r="17" spans="1:26" x14ac:dyDescent="0.2">
      <c r="A17">
        <f t="shared" si="3"/>
        <v>12</v>
      </c>
      <c r="B17" s="10">
        <v>0.71699999999999997</v>
      </c>
      <c r="C17" s="23">
        <f t="shared" si="0"/>
        <v>9.2110000000000003</v>
      </c>
      <c r="D17" s="9">
        <v>0.64700000000000002</v>
      </c>
      <c r="E17" s="26">
        <f t="shared" si="1"/>
        <v>8.3352000000000004</v>
      </c>
      <c r="F17" s="11">
        <v>0.61</v>
      </c>
      <c r="G17" s="23">
        <f t="shared" si="2"/>
        <v>32.549999999999997</v>
      </c>
      <c r="H17" s="9">
        <v>0.55200000000000005</v>
      </c>
      <c r="I17" s="26">
        <f t="shared" si="2"/>
        <v>29.449999999999996</v>
      </c>
      <c r="J17" s="11">
        <v>0.54249999999999998</v>
      </c>
      <c r="K17" s="29">
        <v>9999999</v>
      </c>
      <c r="L17" s="9">
        <v>0.49083333333333329</v>
      </c>
      <c r="M17" s="28">
        <v>9999999</v>
      </c>
      <c r="N17" s="12"/>
      <c r="O17" s="13"/>
      <c r="P17" s="14"/>
      <c r="Q17" s="13"/>
      <c r="S17" s="32">
        <v>32.549999999999997</v>
      </c>
      <c r="T17" s="33">
        <v>29.449999999999996</v>
      </c>
      <c r="U17" s="47">
        <v>184331.79723502306</v>
      </c>
      <c r="V17" s="48">
        <v>203735.14431239391</v>
      </c>
      <c r="W17" s="4"/>
      <c r="X17" s="8"/>
      <c r="Y17" s="56"/>
      <c r="Z17" s="57"/>
    </row>
    <row r="18" spans="1:26" x14ac:dyDescent="0.2">
      <c r="A18">
        <f t="shared" si="3"/>
        <v>13</v>
      </c>
      <c r="B18" s="10">
        <v>0.755</v>
      </c>
      <c r="C18" s="23">
        <f t="shared" si="0"/>
        <v>9.7183599999999988</v>
      </c>
      <c r="D18" s="9">
        <v>0.68099999999999994</v>
      </c>
      <c r="E18" s="26">
        <f t="shared" si="1"/>
        <v>8.7579999999999991</v>
      </c>
      <c r="F18" s="11">
        <v>0.64359999999999995</v>
      </c>
      <c r="G18" s="23">
        <f t="shared" si="2"/>
        <v>34.35</v>
      </c>
      <c r="H18" s="9">
        <v>0.57999999999999996</v>
      </c>
      <c r="I18" s="26">
        <f t="shared" si="2"/>
        <v>31.049999999999997</v>
      </c>
      <c r="J18" s="11">
        <v>0.57250000000000001</v>
      </c>
      <c r="K18" s="29">
        <v>9999999</v>
      </c>
      <c r="L18" s="9">
        <v>0.51749999999999996</v>
      </c>
      <c r="M18" s="28">
        <v>9999999</v>
      </c>
      <c r="N18" s="12"/>
      <c r="O18" s="13"/>
      <c r="P18" s="14"/>
      <c r="Q18" s="13"/>
      <c r="S18" s="32">
        <v>34.35</v>
      </c>
      <c r="T18" s="33">
        <v>31.049999999999997</v>
      </c>
      <c r="U18" s="47">
        <v>174672.48908296943</v>
      </c>
      <c r="V18" s="48">
        <v>193236.71497584542</v>
      </c>
      <c r="W18" s="4"/>
      <c r="X18" s="8"/>
      <c r="Y18" s="56"/>
      <c r="Z18" s="57"/>
    </row>
    <row r="19" spans="1:26" x14ac:dyDescent="0.2">
      <c r="A19">
        <f t="shared" si="3"/>
        <v>14</v>
      </c>
      <c r="B19" s="10">
        <v>0.79500000000000004</v>
      </c>
      <c r="C19" s="23">
        <f t="shared" si="0"/>
        <v>10.231760000000001</v>
      </c>
      <c r="D19" s="9">
        <v>0.72</v>
      </c>
      <c r="E19" s="26">
        <f t="shared" si="1"/>
        <v>9.2532800000000002</v>
      </c>
      <c r="F19" s="11">
        <v>0.67760000000000009</v>
      </c>
      <c r="G19" s="23">
        <f t="shared" si="2"/>
        <v>36.1</v>
      </c>
      <c r="H19" s="9">
        <v>0.61280000000000001</v>
      </c>
      <c r="I19" s="26">
        <f t="shared" si="2"/>
        <v>32.700000000000003</v>
      </c>
      <c r="J19" s="11">
        <v>0.60166666666666668</v>
      </c>
      <c r="K19" s="29">
        <v>9999999</v>
      </c>
      <c r="L19" s="9">
        <v>0.54500000000000004</v>
      </c>
      <c r="M19" s="28">
        <v>9999999</v>
      </c>
      <c r="N19" s="12"/>
      <c r="O19" s="13"/>
      <c r="P19" s="14"/>
      <c r="Q19" s="13"/>
      <c r="S19" s="32">
        <v>36.1</v>
      </c>
      <c r="T19" s="33">
        <v>32.700000000000003</v>
      </c>
      <c r="U19" s="47">
        <v>166204.98614958447</v>
      </c>
      <c r="V19" s="48">
        <v>183486.23853211006</v>
      </c>
      <c r="W19" s="4"/>
      <c r="X19" s="8"/>
      <c r="Y19" s="56"/>
      <c r="Z19" s="57"/>
    </row>
    <row r="20" spans="1:26" x14ac:dyDescent="0.2">
      <c r="A20">
        <f t="shared" si="3"/>
        <v>15</v>
      </c>
      <c r="B20" s="10">
        <v>0.83900000000000008</v>
      </c>
      <c r="C20" s="23">
        <f t="shared" si="0"/>
        <v>10.775359999999999</v>
      </c>
      <c r="D20" s="9">
        <v>0.76</v>
      </c>
      <c r="E20" s="26">
        <f t="shared" si="1"/>
        <v>9.7666800000000009</v>
      </c>
      <c r="F20" s="11">
        <v>0.71360000000000001</v>
      </c>
      <c r="G20" s="23">
        <f t="shared" si="2"/>
        <v>38.1</v>
      </c>
      <c r="H20" s="9">
        <v>0.64680000000000004</v>
      </c>
      <c r="I20" s="26">
        <f t="shared" si="2"/>
        <v>34.500000000000007</v>
      </c>
      <c r="J20" s="11">
        <v>0.63500000000000001</v>
      </c>
      <c r="K20" s="29">
        <v>9999999</v>
      </c>
      <c r="L20" s="9">
        <v>0.57500000000000007</v>
      </c>
      <c r="M20" s="28">
        <v>9999999</v>
      </c>
      <c r="N20" s="12"/>
      <c r="O20" s="13"/>
      <c r="P20" s="14"/>
      <c r="Q20" s="13"/>
      <c r="S20" s="32">
        <v>38.1</v>
      </c>
      <c r="T20" s="33">
        <v>34.500000000000007</v>
      </c>
      <c r="U20" s="47">
        <v>157480.31496062991</v>
      </c>
      <c r="V20" s="48">
        <v>173913.04347826084</v>
      </c>
      <c r="W20" s="4"/>
      <c r="X20" s="8"/>
      <c r="Y20" s="56"/>
      <c r="Z20" s="57"/>
    </row>
    <row r="21" spans="1:26" x14ac:dyDescent="0.2">
      <c r="A21">
        <f t="shared" si="3"/>
        <v>16</v>
      </c>
      <c r="B21" s="10">
        <v>0.88300000000000001</v>
      </c>
      <c r="C21" s="23">
        <f t="shared" si="0"/>
        <v>11.3552</v>
      </c>
      <c r="D21" s="9">
        <v>0.80299999999999994</v>
      </c>
      <c r="E21" s="26">
        <f>H21*15.1</f>
        <v>10.32236</v>
      </c>
      <c r="F21" s="11">
        <v>0.752</v>
      </c>
      <c r="G21" s="23">
        <f t="shared" si="2"/>
        <v>40.1</v>
      </c>
      <c r="H21" s="9">
        <v>0.68359999999999999</v>
      </c>
      <c r="I21" s="26">
        <f t="shared" si="2"/>
        <v>36.5</v>
      </c>
      <c r="J21" s="11">
        <v>0.66833333333333333</v>
      </c>
      <c r="K21" s="29">
        <v>9999999</v>
      </c>
      <c r="L21" s="9">
        <v>0.60833333333333328</v>
      </c>
      <c r="M21" s="28">
        <v>9999999</v>
      </c>
      <c r="N21" s="12"/>
      <c r="O21" s="13"/>
      <c r="P21" s="14"/>
      <c r="Q21" s="13"/>
      <c r="S21" s="32">
        <v>40.1</v>
      </c>
      <c r="T21" s="33">
        <v>36.5</v>
      </c>
      <c r="U21" s="47">
        <v>149625.93516209477</v>
      </c>
      <c r="V21" s="48">
        <v>164383.56164383562</v>
      </c>
      <c r="W21" s="4"/>
      <c r="X21" s="8"/>
      <c r="Y21" s="56"/>
      <c r="Z21" s="57"/>
    </row>
    <row r="22" spans="1:26" ht="17" thickBot="1" x14ac:dyDescent="0.25">
      <c r="A22">
        <f t="shared" si="3"/>
        <v>17</v>
      </c>
      <c r="B22" s="10">
        <v>0.91500000000000004</v>
      </c>
      <c r="C22" s="23">
        <f t="shared" si="0"/>
        <v>11.765919999999999</v>
      </c>
      <c r="D22" s="9">
        <v>0.82799999999999996</v>
      </c>
      <c r="E22" s="26">
        <f>H22*15.1</f>
        <v>10.660599999999999</v>
      </c>
      <c r="F22" s="11">
        <v>0.7792</v>
      </c>
      <c r="G22" s="23">
        <f t="shared" si="2"/>
        <v>41.6</v>
      </c>
      <c r="H22" s="9">
        <v>0.70599999999999996</v>
      </c>
      <c r="I22" s="26">
        <f t="shared" si="2"/>
        <v>37.699999999999974</v>
      </c>
      <c r="J22" s="11">
        <v>0.69333333333333336</v>
      </c>
      <c r="K22" s="29">
        <v>9999999</v>
      </c>
      <c r="L22" s="9">
        <v>0.62833333333333297</v>
      </c>
      <c r="M22" s="28">
        <v>9999999</v>
      </c>
      <c r="N22" s="12"/>
      <c r="O22" s="13"/>
      <c r="P22" s="14"/>
      <c r="Q22" s="13"/>
      <c r="S22" s="34">
        <v>41.6</v>
      </c>
      <c r="T22" s="35">
        <v>37.699999999999974</v>
      </c>
      <c r="U22" s="49">
        <v>144230.76923076922</v>
      </c>
      <c r="V22" s="50">
        <v>159151.19363395235</v>
      </c>
      <c r="W22" s="41"/>
      <c r="X22" s="36"/>
      <c r="Y22" s="58"/>
      <c r="Z22" s="59"/>
    </row>
    <row r="23" spans="1:26" x14ac:dyDescent="0.2">
      <c r="A23">
        <f t="shared" si="3"/>
        <v>18</v>
      </c>
      <c r="B23" s="10">
        <v>0.85100000000000009</v>
      </c>
      <c r="C23" s="23">
        <f>F23*35</f>
        <v>25.96125</v>
      </c>
      <c r="D23" s="9">
        <v>0.76666666666666672</v>
      </c>
      <c r="E23" s="26">
        <f>H23*35</f>
        <v>23.362500000000001</v>
      </c>
      <c r="F23" s="11">
        <v>0.74175000000000002</v>
      </c>
      <c r="G23" s="23">
        <f t="shared" si="2"/>
        <v>38.65</v>
      </c>
      <c r="H23" s="9">
        <v>0.66749999999999998</v>
      </c>
      <c r="I23" s="26">
        <f t="shared" si="2"/>
        <v>34.75</v>
      </c>
      <c r="J23" s="11">
        <v>0.64416666666666667</v>
      </c>
      <c r="K23" s="23">
        <f>N23*120</f>
        <v>67.989999999999995</v>
      </c>
      <c r="L23" s="9">
        <v>0.57916666666666672</v>
      </c>
      <c r="M23" s="26">
        <f>O23*120</f>
        <v>61.69</v>
      </c>
      <c r="N23" s="11">
        <v>0.56658333333333333</v>
      </c>
      <c r="O23" s="15">
        <v>0.51408333333333334</v>
      </c>
      <c r="P23" s="10">
        <v>0.30833333333333335</v>
      </c>
      <c r="Q23" s="15">
        <v>0.26500000000000001</v>
      </c>
      <c r="S23" s="32" cm="1">
        <f t="array" ref="S23:S85">_xlfn.IFS($S$3&lt;$G$2,B$23:B$85,$S$3&lt;$K$2,F$23:F$85,$S$3&lt;$O$2,J$23:J$85,$S$3&gt;=$O$2,N$23:N$85)*($S$3/1000)</f>
        <v>38.65</v>
      </c>
      <c r="T23" s="33" cm="1">
        <f t="array" ref="T23:T85">_xlfn.IFS($S$3&lt;$G$2,D$23:D$85,$S$3&lt;$K$2,H$23:H$85,$S$3&lt;$O$2,L$23:L$85,$S$3&gt;=$O$2,O$23:O$85)*($S$3/1000)</f>
        <v>34.75</v>
      </c>
      <c r="U23" s="47">
        <v>176496.54360935432</v>
      </c>
      <c r="V23" s="48">
        <v>194520.99205705948</v>
      </c>
      <c r="W23" s="10" cm="1">
        <f t="array" ref="W23:W69">($S$3/1000)*P23:P69</f>
        <v>18.5</v>
      </c>
      <c r="X23" s="9" cm="1">
        <f t="array" ref="X23:X69">($S$3/1000)*Q23:Q69</f>
        <v>15.9</v>
      </c>
      <c r="Y23" s="47" cm="1">
        <f t="array" ref="Y23:Y69">($U$3/P$23:P$69)*1000</f>
        <v>324324.32432432432</v>
      </c>
      <c r="Z23" s="60" cm="1">
        <f t="array" ref="Z23:Z69">($U$3/Q$23:Q$69)*1000</f>
        <v>377358.49056603777</v>
      </c>
    </row>
    <row r="24" spans="1:26" x14ac:dyDescent="0.2">
      <c r="A24">
        <f t="shared" si="3"/>
        <v>19</v>
      </c>
      <c r="B24" s="10">
        <v>0.88100000000000001</v>
      </c>
      <c r="C24" s="23">
        <f t="shared" ref="C24:C85" si="4">F24*35</f>
        <v>26.862499999999997</v>
      </c>
      <c r="D24" s="9">
        <v>0.79599999999999993</v>
      </c>
      <c r="E24" s="26">
        <f t="shared" ref="E24:E85" si="5">H24*35</f>
        <v>24.272500000000001</v>
      </c>
      <c r="F24" s="11">
        <v>0.76749999999999996</v>
      </c>
      <c r="G24" s="23">
        <f t="shared" si="2"/>
        <v>40</v>
      </c>
      <c r="H24" s="9">
        <v>0.69350000000000001</v>
      </c>
      <c r="I24" s="26">
        <f t="shared" si="2"/>
        <v>36.1</v>
      </c>
      <c r="J24" s="11">
        <v>0.66666666666666663</v>
      </c>
      <c r="K24" s="23">
        <f t="shared" ref="K24:K85" si="6">N24*120</f>
        <v>69.69</v>
      </c>
      <c r="L24" s="9">
        <v>0.60166666666666668</v>
      </c>
      <c r="M24" s="26">
        <f t="shared" ref="M24:M85" si="7">O24*120</f>
        <v>63.49</v>
      </c>
      <c r="N24" s="11">
        <v>0.58074999999999999</v>
      </c>
      <c r="O24" s="15">
        <v>0.52908333333333335</v>
      </c>
      <c r="P24" s="10">
        <v>0.30916666666666665</v>
      </c>
      <c r="Q24" s="15">
        <v>0.26666666666666666</v>
      </c>
      <c r="S24" s="10">
        <v>40</v>
      </c>
      <c r="T24" s="9">
        <v>36.1</v>
      </c>
      <c r="U24" s="47">
        <v>172191.13215669393</v>
      </c>
      <c r="V24" s="48">
        <v>189006.14269963774</v>
      </c>
      <c r="W24" s="10">
        <v>18.549999999999997</v>
      </c>
      <c r="X24" s="9">
        <v>16</v>
      </c>
      <c r="Y24" s="47">
        <v>323450.13477088953</v>
      </c>
      <c r="Z24" s="60">
        <v>375000</v>
      </c>
    </row>
    <row r="25" spans="1:26" x14ac:dyDescent="0.2">
      <c r="A25">
        <f t="shared" si="3"/>
        <v>20</v>
      </c>
      <c r="B25" s="10">
        <v>0.91266666666666663</v>
      </c>
      <c r="C25" s="23">
        <f t="shared" si="4"/>
        <v>27.798750000000002</v>
      </c>
      <c r="D25" s="9">
        <v>0.82600000000000007</v>
      </c>
      <c r="E25" s="26">
        <f t="shared" si="5"/>
        <v>25.173749999999998</v>
      </c>
      <c r="F25" s="11">
        <v>0.79425000000000001</v>
      </c>
      <c r="G25" s="23">
        <f t="shared" si="2"/>
        <v>41.5</v>
      </c>
      <c r="H25" s="9">
        <v>0.71924999999999994</v>
      </c>
      <c r="I25" s="26">
        <f t="shared" si="2"/>
        <v>37.450000000000003</v>
      </c>
      <c r="J25" s="11">
        <v>0.69166666666666665</v>
      </c>
      <c r="K25" s="23">
        <f t="shared" si="6"/>
        <v>71.59</v>
      </c>
      <c r="L25" s="9">
        <v>0.62416666666666676</v>
      </c>
      <c r="M25" s="26">
        <f t="shared" si="7"/>
        <v>65.39</v>
      </c>
      <c r="N25" s="11">
        <v>0.59658333333333335</v>
      </c>
      <c r="O25" s="15">
        <v>0.54491666666666672</v>
      </c>
      <c r="P25" s="10">
        <v>0.31</v>
      </c>
      <c r="Q25" s="15">
        <v>0.26750000000000002</v>
      </c>
      <c r="S25" s="10">
        <v>41.5</v>
      </c>
      <c r="T25" s="9">
        <v>37.450000000000003</v>
      </c>
      <c r="U25" s="47">
        <v>167621.17614191925</v>
      </c>
      <c r="V25" s="48">
        <v>183514.2988224499</v>
      </c>
      <c r="W25" s="10">
        <v>18.600000000000001</v>
      </c>
      <c r="X25" s="9">
        <v>16.05</v>
      </c>
      <c r="Y25" s="47">
        <v>322580.6451612903</v>
      </c>
      <c r="Z25" s="60">
        <v>373831.77570093452</v>
      </c>
    </row>
    <row r="26" spans="1:26" x14ac:dyDescent="0.2">
      <c r="A26">
        <f t="shared" si="3"/>
        <v>21</v>
      </c>
      <c r="B26" s="10">
        <v>0.94500000000000006</v>
      </c>
      <c r="C26" s="23">
        <f t="shared" si="4"/>
        <v>28.875</v>
      </c>
      <c r="D26" s="9">
        <v>0.85766666666666669</v>
      </c>
      <c r="E26" s="26">
        <f t="shared" si="5"/>
        <v>26.13625</v>
      </c>
      <c r="F26" s="11">
        <v>0.82499999999999996</v>
      </c>
      <c r="G26" s="23">
        <f t="shared" si="2"/>
        <v>42.85</v>
      </c>
      <c r="H26" s="9">
        <v>0.74675000000000002</v>
      </c>
      <c r="I26" s="26">
        <f t="shared" si="2"/>
        <v>38.9</v>
      </c>
      <c r="J26" s="11">
        <v>0.71416666666666673</v>
      </c>
      <c r="K26" s="23">
        <f t="shared" si="6"/>
        <v>74.09</v>
      </c>
      <c r="L26" s="9">
        <v>0.64833333333333332</v>
      </c>
      <c r="M26" s="26">
        <f t="shared" si="7"/>
        <v>67.290000000000006</v>
      </c>
      <c r="N26" s="11">
        <v>0.61741666666666672</v>
      </c>
      <c r="O26" s="15">
        <v>0.56075000000000008</v>
      </c>
      <c r="P26" s="10">
        <v>0.3116666666666667</v>
      </c>
      <c r="Q26" s="15">
        <v>0.26833333333333337</v>
      </c>
      <c r="S26" s="10">
        <v>42.85</v>
      </c>
      <c r="T26" s="9">
        <v>38.9</v>
      </c>
      <c r="U26" s="47">
        <v>161965.17748684032</v>
      </c>
      <c r="V26" s="48">
        <v>178332.59028087379</v>
      </c>
      <c r="W26" s="10">
        <v>18.700000000000003</v>
      </c>
      <c r="X26" s="9">
        <v>16.100000000000001</v>
      </c>
      <c r="Y26" s="47">
        <v>320855.61497326201</v>
      </c>
      <c r="Z26" s="60">
        <v>372670.80745341611</v>
      </c>
    </row>
    <row r="27" spans="1:26" x14ac:dyDescent="0.2">
      <c r="A27">
        <f t="shared" si="3"/>
        <v>22</v>
      </c>
      <c r="B27" s="10">
        <v>0.98266666666666669</v>
      </c>
      <c r="C27" s="23">
        <f t="shared" si="4"/>
        <v>29.960000000000004</v>
      </c>
      <c r="D27" s="9">
        <v>0.88933333333333331</v>
      </c>
      <c r="E27" s="26">
        <f t="shared" si="5"/>
        <v>27.125</v>
      </c>
      <c r="F27" s="11">
        <v>0.85600000000000009</v>
      </c>
      <c r="G27" s="23">
        <f t="shared" si="2"/>
        <v>44.7</v>
      </c>
      <c r="H27" s="9">
        <v>0.77500000000000002</v>
      </c>
      <c r="I27" s="26">
        <f t="shared" si="2"/>
        <v>40.299999999999997</v>
      </c>
      <c r="J27" s="11">
        <v>0.745</v>
      </c>
      <c r="K27" s="23">
        <f t="shared" si="6"/>
        <v>76.19</v>
      </c>
      <c r="L27" s="9">
        <v>0.67166666666666663</v>
      </c>
      <c r="M27" s="26">
        <f t="shared" si="7"/>
        <v>69.39</v>
      </c>
      <c r="N27" s="11">
        <v>0.63491666666666668</v>
      </c>
      <c r="O27" s="15">
        <v>0.57825000000000004</v>
      </c>
      <c r="P27" s="10">
        <v>0.3133333333333333</v>
      </c>
      <c r="Q27" s="15">
        <v>0.27</v>
      </c>
      <c r="S27" s="10">
        <v>44.7</v>
      </c>
      <c r="T27" s="9">
        <v>40.299999999999997</v>
      </c>
      <c r="U27" s="47">
        <v>157500.98438115238</v>
      </c>
      <c r="V27" s="48">
        <v>172935.58149589275</v>
      </c>
      <c r="W27" s="10">
        <v>18.799999999999997</v>
      </c>
      <c r="X27" s="9">
        <v>16.200000000000003</v>
      </c>
      <c r="Y27" s="47">
        <v>319148.93617021275</v>
      </c>
      <c r="Z27" s="60">
        <v>370370.37037037034</v>
      </c>
    </row>
    <row r="28" spans="1:26" x14ac:dyDescent="0.2">
      <c r="A28">
        <f t="shared" si="3"/>
        <v>23</v>
      </c>
      <c r="B28" s="10">
        <v>1.0209999999999999</v>
      </c>
      <c r="C28" s="23">
        <f t="shared" si="4"/>
        <v>31.150000000000002</v>
      </c>
      <c r="D28" s="9">
        <v>0.92500000000000004</v>
      </c>
      <c r="E28" s="26">
        <f t="shared" si="5"/>
        <v>28.21</v>
      </c>
      <c r="F28" s="11">
        <v>0.89</v>
      </c>
      <c r="G28" s="23">
        <f t="shared" si="2"/>
        <v>46.35</v>
      </c>
      <c r="H28" s="9">
        <v>0.80600000000000005</v>
      </c>
      <c r="I28" s="26">
        <f t="shared" si="2"/>
        <v>42</v>
      </c>
      <c r="J28" s="11">
        <v>0.77250000000000008</v>
      </c>
      <c r="K28" s="23">
        <f t="shared" si="6"/>
        <v>78.790000000000006</v>
      </c>
      <c r="L28" s="9">
        <v>0.7</v>
      </c>
      <c r="M28" s="26">
        <f t="shared" si="7"/>
        <v>71.59</v>
      </c>
      <c r="N28" s="11">
        <v>0.65658333333333341</v>
      </c>
      <c r="O28" s="15">
        <v>0.59658333333333335</v>
      </c>
      <c r="P28" s="10">
        <v>0.315</v>
      </c>
      <c r="Q28" s="15">
        <v>0.27166666666666667</v>
      </c>
      <c r="S28" s="10">
        <v>46.35</v>
      </c>
      <c r="T28" s="9">
        <v>42</v>
      </c>
      <c r="U28" s="47">
        <v>152303.59182637389</v>
      </c>
      <c r="V28" s="48">
        <v>167621.17614191925</v>
      </c>
      <c r="W28" s="10">
        <v>18.899999999999999</v>
      </c>
      <c r="X28" s="9">
        <v>16.3</v>
      </c>
      <c r="Y28" s="47">
        <v>317460.31746031746</v>
      </c>
      <c r="Z28" s="60">
        <v>368098.15950920247</v>
      </c>
    </row>
    <row r="29" spans="1:26" x14ac:dyDescent="0.2">
      <c r="A29">
        <f t="shared" si="3"/>
        <v>24</v>
      </c>
      <c r="B29" s="10">
        <v>1.0609999999999999</v>
      </c>
      <c r="C29" s="23">
        <f t="shared" si="4"/>
        <v>32.409999999999997</v>
      </c>
      <c r="D29" s="9">
        <v>0.96433333333333338</v>
      </c>
      <c r="E29" s="26">
        <f t="shared" si="5"/>
        <v>29.373750000000001</v>
      </c>
      <c r="F29" s="11">
        <v>0.92599999999999993</v>
      </c>
      <c r="G29" s="23">
        <f t="shared" si="2"/>
        <v>48.2</v>
      </c>
      <c r="H29" s="9">
        <v>0.83925000000000005</v>
      </c>
      <c r="I29" s="26">
        <f t="shared" si="2"/>
        <v>43.75</v>
      </c>
      <c r="J29" s="11">
        <v>0.80333333333333334</v>
      </c>
      <c r="K29" s="23">
        <f t="shared" si="6"/>
        <v>81.599999999999994</v>
      </c>
      <c r="L29" s="9">
        <v>0.72916666666666663</v>
      </c>
      <c r="M29" s="26">
        <f t="shared" si="7"/>
        <v>73.989999999999995</v>
      </c>
      <c r="N29" s="11">
        <v>0.67999999999999994</v>
      </c>
      <c r="O29" s="15">
        <v>0.61658333333333326</v>
      </c>
      <c r="P29" s="10">
        <v>0.31666666666666665</v>
      </c>
      <c r="Q29" s="15">
        <v>0.27250000000000002</v>
      </c>
      <c r="S29" s="10">
        <v>48.2</v>
      </c>
      <c r="T29" s="9">
        <v>43.75</v>
      </c>
      <c r="U29" s="47">
        <v>147058.82352941178</v>
      </c>
      <c r="V29" s="48">
        <v>162184.07892958508</v>
      </c>
      <c r="W29" s="10">
        <v>19</v>
      </c>
      <c r="X29" s="9">
        <v>16.350000000000001</v>
      </c>
      <c r="Y29" s="47">
        <v>315789.4736842105</v>
      </c>
      <c r="Z29" s="60">
        <v>366972.47706422012</v>
      </c>
    </row>
    <row r="30" spans="1:26" x14ac:dyDescent="0.2">
      <c r="A30">
        <f t="shared" si="3"/>
        <v>25</v>
      </c>
      <c r="B30" s="10">
        <v>1.1083333333333334</v>
      </c>
      <c r="C30" s="23">
        <f t="shared" si="4"/>
        <v>33.862500000000004</v>
      </c>
      <c r="D30" s="9">
        <v>1.0066666666666666</v>
      </c>
      <c r="E30" s="26">
        <f t="shared" si="5"/>
        <v>30.686250000000001</v>
      </c>
      <c r="F30" s="11">
        <v>0.96750000000000003</v>
      </c>
      <c r="G30" s="23">
        <f t="shared" si="2"/>
        <v>50.3</v>
      </c>
      <c r="H30" s="9">
        <v>0.87675000000000003</v>
      </c>
      <c r="I30" s="26">
        <f t="shared" si="2"/>
        <v>45.7</v>
      </c>
      <c r="J30" s="11">
        <v>0.83833333333333326</v>
      </c>
      <c r="K30" s="23">
        <f t="shared" si="6"/>
        <v>84.89</v>
      </c>
      <c r="L30" s="9">
        <v>0.76166666666666671</v>
      </c>
      <c r="M30" s="26">
        <f t="shared" si="7"/>
        <v>76.59</v>
      </c>
      <c r="N30" s="11">
        <v>0.70741666666666669</v>
      </c>
      <c r="O30" s="15">
        <v>0.63824999999999998</v>
      </c>
      <c r="P30" s="10">
        <v>0.31916666666666665</v>
      </c>
      <c r="Q30" s="15">
        <v>0.27416666666666667</v>
      </c>
      <c r="S30" s="10">
        <v>50.3</v>
      </c>
      <c r="T30" s="9">
        <v>45.7</v>
      </c>
      <c r="U30" s="47">
        <v>141359.40629049359</v>
      </c>
      <c r="V30" s="48">
        <v>156678.41754798277</v>
      </c>
      <c r="W30" s="10">
        <v>19.149999999999999</v>
      </c>
      <c r="X30" s="9">
        <v>16.45</v>
      </c>
      <c r="Y30" s="47">
        <v>313315.92689295043</v>
      </c>
      <c r="Z30" s="60">
        <v>364741.64133738598</v>
      </c>
    </row>
    <row r="31" spans="1:26" x14ac:dyDescent="0.2">
      <c r="A31">
        <f t="shared" si="3"/>
        <v>26</v>
      </c>
      <c r="B31" s="10">
        <v>1.1626666666666667</v>
      </c>
      <c r="C31" s="23">
        <f t="shared" si="4"/>
        <v>35.472500000000004</v>
      </c>
      <c r="D31" s="9">
        <v>1.0543333333333333</v>
      </c>
      <c r="E31" s="26">
        <f t="shared" si="5"/>
        <v>32.112500000000004</v>
      </c>
      <c r="F31" s="11">
        <v>1.0135000000000001</v>
      </c>
      <c r="G31" s="23">
        <f t="shared" si="2"/>
        <v>52.7</v>
      </c>
      <c r="H31" s="9">
        <v>0.91750000000000009</v>
      </c>
      <c r="I31" s="26">
        <f t="shared" si="2"/>
        <v>47.8</v>
      </c>
      <c r="J31" s="11">
        <v>0.87833333333333341</v>
      </c>
      <c r="K31" s="23">
        <f t="shared" si="6"/>
        <v>88.49</v>
      </c>
      <c r="L31" s="9">
        <v>0.79666666666666663</v>
      </c>
      <c r="M31" s="26">
        <f t="shared" si="7"/>
        <v>79.349999999999994</v>
      </c>
      <c r="N31" s="11">
        <v>0.73741666666666661</v>
      </c>
      <c r="O31" s="15">
        <v>0.66125</v>
      </c>
      <c r="P31" s="10">
        <v>0.32416666666666666</v>
      </c>
      <c r="Q31" s="15">
        <v>0.27666666666666667</v>
      </c>
      <c r="S31" s="10">
        <v>52.7</v>
      </c>
      <c r="T31" s="9">
        <v>47.8</v>
      </c>
      <c r="U31" s="47">
        <v>135608.54333823032</v>
      </c>
      <c r="V31" s="48">
        <v>151228.73345935726</v>
      </c>
      <c r="W31" s="10">
        <v>19.45</v>
      </c>
      <c r="X31" s="9">
        <v>16.600000000000001</v>
      </c>
      <c r="Y31" s="47">
        <v>308483.29048843187</v>
      </c>
      <c r="Z31" s="60">
        <v>361445.78313253011</v>
      </c>
    </row>
    <row r="32" spans="1:26" x14ac:dyDescent="0.2">
      <c r="A32">
        <f t="shared" si="3"/>
        <v>27</v>
      </c>
      <c r="B32" s="10">
        <v>1.2210000000000001</v>
      </c>
      <c r="C32" s="23">
        <f t="shared" si="4"/>
        <v>37.222499999999997</v>
      </c>
      <c r="D32" s="9">
        <v>1.1066666666666667</v>
      </c>
      <c r="E32" s="26">
        <f t="shared" si="5"/>
        <v>33.775000000000006</v>
      </c>
      <c r="F32" s="11">
        <v>1.0634999999999999</v>
      </c>
      <c r="G32" s="23">
        <f t="shared" si="2"/>
        <v>55.3</v>
      </c>
      <c r="H32" s="9">
        <v>0.96500000000000008</v>
      </c>
      <c r="I32" s="26">
        <f t="shared" si="2"/>
        <v>50.2</v>
      </c>
      <c r="J32" s="11">
        <v>0.92166666666666663</v>
      </c>
      <c r="K32" s="23">
        <f t="shared" si="6"/>
        <v>92.49</v>
      </c>
      <c r="L32" s="9">
        <v>0.83666666666666667</v>
      </c>
      <c r="M32" s="26">
        <f t="shared" si="7"/>
        <v>82.48</v>
      </c>
      <c r="N32" s="11">
        <v>0.77074999999999994</v>
      </c>
      <c r="O32" s="15">
        <v>0.68733333333333335</v>
      </c>
      <c r="P32" s="10">
        <v>0.32750000000000001</v>
      </c>
      <c r="Q32" s="15">
        <v>0.27999999999999997</v>
      </c>
      <c r="S32" s="10">
        <v>55.3</v>
      </c>
      <c r="T32" s="9">
        <v>50.2</v>
      </c>
      <c r="U32" s="47">
        <v>129743.75608173858</v>
      </c>
      <c r="V32" s="48">
        <v>145489.81571290008</v>
      </c>
      <c r="W32" s="10">
        <v>19.650000000000002</v>
      </c>
      <c r="X32" s="9">
        <v>16.799999999999997</v>
      </c>
      <c r="Y32" s="47">
        <v>305343.51145038166</v>
      </c>
      <c r="Z32" s="60">
        <v>357142.85714285716</v>
      </c>
    </row>
    <row r="33" spans="1:26" x14ac:dyDescent="0.2">
      <c r="A33">
        <f t="shared" si="3"/>
        <v>28</v>
      </c>
      <c r="B33" s="10">
        <v>1.2816666666666667</v>
      </c>
      <c r="C33" s="23">
        <f t="shared" si="4"/>
        <v>39.086250000000007</v>
      </c>
      <c r="D33" s="9">
        <v>1.1626666666666667</v>
      </c>
      <c r="E33" s="26">
        <f t="shared" si="5"/>
        <v>35.472500000000004</v>
      </c>
      <c r="F33" s="11">
        <v>1.1167500000000001</v>
      </c>
      <c r="G33" s="23">
        <f t="shared" si="2"/>
        <v>58.15</v>
      </c>
      <c r="H33" s="9">
        <v>1.0135000000000001</v>
      </c>
      <c r="I33" s="26">
        <f t="shared" si="2"/>
        <v>52.76</v>
      </c>
      <c r="J33" s="11">
        <v>0.96916666666666662</v>
      </c>
      <c r="K33" s="23">
        <f t="shared" si="6"/>
        <v>96.79</v>
      </c>
      <c r="L33" s="9">
        <v>0.8793333333333333</v>
      </c>
      <c r="M33" s="26">
        <f t="shared" si="7"/>
        <v>85.79</v>
      </c>
      <c r="N33" s="11">
        <v>0.80658333333333343</v>
      </c>
      <c r="O33" s="15">
        <v>0.71491666666666676</v>
      </c>
      <c r="P33" s="10">
        <v>0.33083333333333337</v>
      </c>
      <c r="Q33" s="15">
        <v>0.28250000000000003</v>
      </c>
      <c r="S33" s="10">
        <v>58.15</v>
      </c>
      <c r="T33" s="9">
        <v>52.76</v>
      </c>
      <c r="U33" s="47">
        <v>123979.74997417087</v>
      </c>
      <c r="V33" s="48">
        <v>139876.442475813</v>
      </c>
      <c r="W33" s="10">
        <v>19.850000000000001</v>
      </c>
      <c r="X33" s="9">
        <v>16.950000000000003</v>
      </c>
      <c r="Y33" s="47">
        <v>302267.00251889165</v>
      </c>
      <c r="Z33" s="60">
        <v>353982.30088495568</v>
      </c>
    </row>
    <row r="34" spans="1:26" x14ac:dyDescent="0.2">
      <c r="A34">
        <f t="shared" si="3"/>
        <v>29</v>
      </c>
      <c r="B34" s="10">
        <v>1.3466666666666667</v>
      </c>
      <c r="C34" s="23">
        <f t="shared" si="4"/>
        <v>41.072499999999998</v>
      </c>
      <c r="D34" s="9">
        <v>1.2216666666666667</v>
      </c>
      <c r="E34" s="26">
        <f t="shared" si="5"/>
        <v>37.248749999999994</v>
      </c>
      <c r="F34" s="11">
        <v>1.1735</v>
      </c>
      <c r="G34" s="23">
        <f t="shared" si="2"/>
        <v>61.2</v>
      </c>
      <c r="H34" s="9">
        <v>1.0642499999999999</v>
      </c>
      <c r="I34" s="26">
        <f t="shared" si="2"/>
        <v>55.4</v>
      </c>
      <c r="J34" s="11">
        <v>1.02</v>
      </c>
      <c r="K34" s="23">
        <f t="shared" si="6"/>
        <v>101.49</v>
      </c>
      <c r="L34" s="9">
        <v>0.92333333333333334</v>
      </c>
      <c r="M34" s="26">
        <f t="shared" si="7"/>
        <v>89.09</v>
      </c>
      <c r="N34" s="11">
        <v>0.84575</v>
      </c>
      <c r="O34" s="15">
        <v>0.74241666666666672</v>
      </c>
      <c r="P34" s="10">
        <v>0.33416666666666667</v>
      </c>
      <c r="Q34" s="15">
        <v>0.28666666666666668</v>
      </c>
      <c r="S34" s="10">
        <v>61.2</v>
      </c>
      <c r="T34" s="9">
        <v>55.4</v>
      </c>
      <c r="U34" s="47">
        <v>98039.215686274503</v>
      </c>
      <c r="V34" s="48">
        <v>134695.25199236724</v>
      </c>
      <c r="W34" s="10">
        <v>20.05</v>
      </c>
      <c r="X34" s="9">
        <v>17.2</v>
      </c>
      <c r="Y34" s="47">
        <v>299251.87032418954</v>
      </c>
      <c r="Z34" s="60">
        <v>348837.20930232556</v>
      </c>
    </row>
    <row r="35" spans="1:26" x14ac:dyDescent="0.2">
      <c r="A35">
        <f t="shared" si="3"/>
        <v>30</v>
      </c>
      <c r="B35" s="10">
        <v>1.4176666666666666</v>
      </c>
      <c r="C35" s="23">
        <f t="shared" si="4"/>
        <v>43.286250000000003</v>
      </c>
      <c r="D35" s="9">
        <v>1.2826666666666666</v>
      </c>
      <c r="E35" s="26">
        <f t="shared" si="5"/>
        <v>39.086250000000007</v>
      </c>
      <c r="F35" s="11">
        <v>1.23675</v>
      </c>
      <c r="G35" s="23">
        <f t="shared" si="2"/>
        <v>64.400000000000006</v>
      </c>
      <c r="H35" s="9">
        <v>1.1167500000000001</v>
      </c>
      <c r="I35" s="26">
        <f t="shared" si="2"/>
        <v>58.2</v>
      </c>
      <c r="J35" s="11">
        <v>1.0733333333333335</v>
      </c>
      <c r="K35" s="23">
        <f t="shared" si="6"/>
        <v>106.39</v>
      </c>
      <c r="L35" s="9">
        <v>0.97000000000000008</v>
      </c>
      <c r="M35" s="26">
        <f t="shared" si="7"/>
        <v>92.79</v>
      </c>
      <c r="N35" s="11">
        <v>0.88658333333333339</v>
      </c>
      <c r="O35" s="15">
        <v>0.7732500000000001</v>
      </c>
      <c r="P35" s="10">
        <v>0.33749999999999997</v>
      </c>
      <c r="Q35" s="15">
        <v>0.28999999999999998</v>
      </c>
      <c r="S35" s="10">
        <v>64.400000000000006</v>
      </c>
      <c r="T35" s="9">
        <v>58.2</v>
      </c>
      <c r="U35" s="47">
        <v>93167.701863354028</v>
      </c>
      <c r="V35" s="48">
        <v>129324.28063368898</v>
      </c>
      <c r="W35" s="10">
        <v>20.249999999999996</v>
      </c>
      <c r="X35" s="9">
        <v>17.399999999999999</v>
      </c>
      <c r="Y35" s="47">
        <v>296296.29629629629</v>
      </c>
      <c r="Z35" s="60">
        <v>344827.58620689658</v>
      </c>
    </row>
    <row r="36" spans="1:26" x14ac:dyDescent="0.2">
      <c r="A36">
        <f t="shared" si="3"/>
        <v>31</v>
      </c>
      <c r="B36" s="10">
        <v>1.4950000000000001</v>
      </c>
      <c r="C36" s="23">
        <f t="shared" si="4"/>
        <v>45.648750000000007</v>
      </c>
      <c r="D36" s="9">
        <v>1.345</v>
      </c>
      <c r="E36" s="26">
        <f t="shared" si="5"/>
        <v>40.984999999999999</v>
      </c>
      <c r="F36" s="11">
        <v>1.3042500000000001</v>
      </c>
      <c r="G36" s="23">
        <f t="shared" si="2"/>
        <v>67.849999999999994</v>
      </c>
      <c r="H36" s="9">
        <v>1.171</v>
      </c>
      <c r="I36" s="26">
        <f t="shared" si="2"/>
        <v>61</v>
      </c>
      <c r="J36" s="11">
        <v>1.1308333333333331</v>
      </c>
      <c r="K36" s="23">
        <f t="shared" si="6"/>
        <v>110.59</v>
      </c>
      <c r="L36" s="9">
        <v>1.0166666666666666</v>
      </c>
      <c r="M36" s="26">
        <f t="shared" si="7"/>
        <v>96.79</v>
      </c>
      <c r="N36" s="11">
        <v>0.92158333333333331</v>
      </c>
      <c r="O36" s="15">
        <v>0.80658333333333343</v>
      </c>
      <c r="P36" s="10">
        <v>0.34250000000000003</v>
      </c>
      <c r="Q36" s="15">
        <v>0.29416666666666663</v>
      </c>
      <c r="S36" s="10">
        <v>67.849999999999994</v>
      </c>
      <c r="T36" s="9">
        <v>61</v>
      </c>
      <c r="U36" s="47">
        <v>88430.361090641149</v>
      </c>
      <c r="V36" s="48">
        <v>123979.74997417087</v>
      </c>
      <c r="W36" s="10">
        <v>20.55</v>
      </c>
      <c r="X36" s="9">
        <v>17.649999999999999</v>
      </c>
      <c r="Y36" s="47">
        <v>291970.80291970796</v>
      </c>
      <c r="Z36" s="60">
        <v>339943.34277620399</v>
      </c>
    </row>
    <row r="37" spans="1:26" x14ac:dyDescent="0.2">
      <c r="A37">
        <f t="shared" si="3"/>
        <v>32</v>
      </c>
      <c r="B37" s="10">
        <v>1.5760000000000001</v>
      </c>
      <c r="C37" s="23">
        <f t="shared" si="4"/>
        <v>48.011250000000004</v>
      </c>
      <c r="D37" s="9">
        <v>1.4093333333333333</v>
      </c>
      <c r="E37" s="26">
        <f t="shared" si="5"/>
        <v>42.962499999999999</v>
      </c>
      <c r="F37" s="11">
        <v>1.37175</v>
      </c>
      <c r="G37" s="23">
        <f t="shared" si="2"/>
        <v>71.5</v>
      </c>
      <c r="H37" s="9">
        <v>1.2275</v>
      </c>
      <c r="I37" s="26">
        <f t="shared" si="2"/>
        <v>63.9</v>
      </c>
      <c r="J37" s="11">
        <v>1.1916666666666667</v>
      </c>
      <c r="K37" s="23">
        <f t="shared" si="6"/>
        <v>117.19</v>
      </c>
      <c r="L37" s="9">
        <v>1.0649999999999999</v>
      </c>
      <c r="M37" s="26">
        <f t="shared" si="7"/>
        <v>101.19</v>
      </c>
      <c r="N37" s="11">
        <v>0.97658333333333336</v>
      </c>
      <c r="O37" s="15">
        <v>0.84324999999999994</v>
      </c>
      <c r="P37" s="10">
        <v>0.34916666666666668</v>
      </c>
      <c r="Q37" s="15">
        <v>0.29833333333333334</v>
      </c>
      <c r="S37" s="10">
        <v>71.5</v>
      </c>
      <c r="T37" s="9">
        <v>63.9</v>
      </c>
      <c r="U37" s="47">
        <v>83916.083916083924</v>
      </c>
      <c r="V37" s="48">
        <v>93896.713615023473</v>
      </c>
      <c r="W37" s="10">
        <v>20.95</v>
      </c>
      <c r="X37" s="9">
        <v>17.899999999999999</v>
      </c>
      <c r="Y37" s="47">
        <v>286396.18138424825</v>
      </c>
      <c r="Z37" s="60">
        <v>335195.53072625701</v>
      </c>
    </row>
    <row r="38" spans="1:26" x14ac:dyDescent="0.2">
      <c r="A38">
        <f t="shared" si="3"/>
        <v>33</v>
      </c>
      <c r="B38" s="10">
        <v>1.6626666666666667</v>
      </c>
      <c r="C38" s="23">
        <f t="shared" si="4"/>
        <v>50.697499999999998</v>
      </c>
      <c r="D38" s="9">
        <v>1.476</v>
      </c>
      <c r="E38" s="26">
        <f t="shared" si="5"/>
        <v>44.974999999999994</v>
      </c>
      <c r="F38" s="11">
        <v>1.4484999999999999</v>
      </c>
      <c r="G38" s="23">
        <f t="shared" si="2"/>
        <v>75.55</v>
      </c>
      <c r="H38" s="9">
        <v>1.2849999999999999</v>
      </c>
      <c r="I38" s="26">
        <f t="shared" si="2"/>
        <v>66.95</v>
      </c>
      <c r="J38" s="11">
        <v>1.2591666666666665</v>
      </c>
      <c r="K38" s="23">
        <f t="shared" si="6"/>
        <v>123.08999999999999</v>
      </c>
      <c r="L38" s="9">
        <v>1.1158333333333335</v>
      </c>
      <c r="M38" s="26">
        <f t="shared" si="7"/>
        <v>105.59</v>
      </c>
      <c r="N38" s="11">
        <v>1.0257499999999999</v>
      </c>
      <c r="O38" s="15">
        <v>0.87991666666666668</v>
      </c>
      <c r="P38" s="10">
        <v>0.35583333333333328</v>
      </c>
      <c r="Q38" s="15">
        <v>0.3075</v>
      </c>
      <c r="S38" s="10">
        <v>75.55</v>
      </c>
      <c r="T38" s="9">
        <v>66.95</v>
      </c>
      <c r="U38" s="47">
        <v>79417.60423560557</v>
      </c>
      <c r="V38" s="48">
        <v>89619.118745332336</v>
      </c>
      <c r="W38" s="10">
        <v>21.349999999999998</v>
      </c>
      <c r="X38" s="9">
        <v>18.45</v>
      </c>
      <c r="Y38" s="47">
        <v>281030.44496487128</v>
      </c>
      <c r="Z38" s="60">
        <v>325203.25203252031</v>
      </c>
    </row>
    <row r="39" spans="1:26" x14ac:dyDescent="0.2">
      <c r="A39">
        <f t="shared" si="3"/>
        <v>34</v>
      </c>
      <c r="B39" s="10">
        <v>1.7543333333333335</v>
      </c>
      <c r="C39" s="23">
        <f t="shared" si="4"/>
        <v>53.52375</v>
      </c>
      <c r="D39" s="9">
        <v>1.5426666666666666</v>
      </c>
      <c r="E39" s="26">
        <f t="shared" si="5"/>
        <v>47.022500000000008</v>
      </c>
      <c r="F39" s="11">
        <v>1.52925</v>
      </c>
      <c r="G39" s="23">
        <f t="shared" si="2"/>
        <v>79.599999999999994</v>
      </c>
      <c r="H39" s="9">
        <v>1.3435000000000001</v>
      </c>
      <c r="I39" s="26">
        <f t="shared" si="2"/>
        <v>70</v>
      </c>
      <c r="J39" s="11">
        <v>1.3266666666666667</v>
      </c>
      <c r="K39" s="23">
        <f t="shared" si="6"/>
        <v>129.29</v>
      </c>
      <c r="L39" s="9">
        <v>1.1666666666666667</v>
      </c>
      <c r="M39" s="26">
        <f t="shared" si="7"/>
        <v>110.19</v>
      </c>
      <c r="N39" s="11">
        <v>1.0774166666666667</v>
      </c>
      <c r="O39" s="15">
        <v>0.91825000000000001</v>
      </c>
      <c r="P39" s="10">
        <v>0.3666666666666667</v>
      </c>
      <c r="Q39" s="15">
        <v>0.315</v>
      </c>
      <c r="S39" s="10">
        <v>79.599999999999994</v>
      </c>
      <c r="T39" s="9">
        <v>70</v>
      </c>
      <c r="U39" s="47">
        <v>75376.884422110554</v>
      </c>
      <c r="V39" s="48">
        <v>85714.28571428571</v>
      </c>
      <c r="W39" s="10">
        <v>22</v>
      </c>
      <c r="X39" s="9">
        <v>18.899999999999999</v>
      </c>
      <c r="Y39" s="47">
        <v>272727.27272727271</v>
      </c>
      <c r="Z39" s="60">
        <v>317460.31746031746</v>
      </c>
    </row>
    <row r="40" spans="1:26" x14ac:dyDescent="0.2">
      <c r="A40">
        <f t="shared" si="3"/>
        <v>35</v>
      </c>
      <c r="B40" s="10">
        <v>1.8493333333333333</v>
      </c>
      <c r="C40" s="23">
        <f t="shared" si="4"/>
        <v>56.35</v>
      </c>
      <c r="D40" s="9">
        <v>1.611</v>
      </c>
      <c r="E40" s="26">
        <f t="shared" si="5"/>
        <v>49.087500000000006</v>
      </c>
      <c r="F40" s="11">
        <v>1.61</v>
      </c>
      <c r="G40" s="23">
        <f t="shared" si="2"/>
        <v>83.85</v>
      </c>
      <c r="H40" s="9">
        <v>1.4025000000000001</v>
      </c>
      <c r="I40" s="26">
        <f t="shared" si="2"/>
        <v>73.099999999999994</v>
      </c>
      <c r="J40" s="11">
        <v>1.3975</v>
      </c>
      <c r="K40" s="23">
        <f t="shared" si="6"/>
        <v>135.99</v>
      </c>
      <c r="L40" s="9">
        <v>1.2183333333333333</v>
      </c>
      <c r="M40" s="26">
        <f t="shared" si="7"/>
        <v>114.89</v>
      </c>
      <c r="N40" s="11">
        <v>1.1332500000000001</v>
      </c>
      <c r="O40" s="15">
        <v>0.95741666666666669</v>
      </c>
      <c r="P40" s="10">
        <v>0.38250000000000001</v>
      </c>
      <c r="Q40" s="15">
        <v>0.32750000000000001</v>
      </c>
      <c r="S40" s="10">
        <v>83.85</v>
      </c>
      <c r="T40" s="9">
        <v>73.099999999999994</v>
      </c>
      <c r="U40" s="47">
        <v>71556.350626118074</v>
      </c>
      <c r="V40" s="48">
        <v>82079.34336525308</v>
      </c>
      <c r="W40" s="10">
        <v>22.95</v>
      </c>
      <c r="X40" s="9">
        <v>19.650000000000002</v>
      </c>
      <c r="Y40" s="47">
        <v>261437.90849673201</v>
      </c>
      <c r="Z40" s="60">
        <v>305343.51145038166</v>
      </c>
    </row>
    <row r="41" spans="1:26" x14ac:dyDescent="0.2">
      <c r="A41">
        <f t="shared" si="3"/>
        <v>36</v>
      </c>
      <c r="B41" s="10">
        <v>1.9409999999999998</v>
      </c>
      <c r="C41" s="23">
        <f t="shared" si="4"/>
        <v>59.15</v>
      </c>
      <c r="D41" s="9">
        <v>1.6793333333333333</v>
      </c>
      <c r="E41" s="26">
        <f t="shared" si="5"/>
        <v>51.1875</v>
      </c>
      <c r="F41" s="11">
        <v>1.69</v>
      </c>
      <c r="G41" s="23">
        <f t="shared" si="2"/>
        <v>88.1</v>
      </c>
      <c r="H41" s="9">
        <v>1.4624999999999999</v>
      </c>
      <c r="I41" s="26">
        <f t="shared" si="2"/>
        <v>76.260000000000005</v>
      </c>
      <c r="J41" s="11">
        <v>1.4683333333333333</v>
      </c>
      <c r="K41" s="23">
        <f t="shared" si="6"/>
        <v>142.99</v>
      </c>
      <c r="L41" s="9">
        <v>1.2710000000000001</v>
      </c>
      <c r="M41" s="26">
        <f t="shared" si="7"/>
        <v>119.66</v>
      </c>
      <c r="N41" s="11">
        <v>1.1915833333333334</v>
      </c>
      <c r="O41" s="15">
        <v>0.99716666666666665</v>
      </c>
      <c r="P41" s="10">
        <v>0.40083333333333332</v>
      </c>
      <c r="Q41" s="15">
        <v>0.34416666666666668</v>
      </c>
      <c r="S41" s="10">
        <v>88.1</v>
      </c>
      <c r="T41" s="9">
        <v>76.260000000000005</v>
      </c>
      <c r="U41" s="47">
        <v>68104.426787741206</v>
      </c>
      <c r="V41" s="48">
        <v>78678.206136900073</v>
      </c>
      <c r="W41" s="10">
        <v>24.05</v>
      </c>
      <c r="X41" s="9">
        <v>20.650000000000002</v>
      </c>
      <c r="Y41" s="47">
        <v>249480.24948024948</v>
      </c>
      <c r="Z41" s="60">
        <v>290556.90072639228</v>
      </c>
    </row>
    <row r="42" spans="1:26" x14ac:dyDescent="0.2">
      <c r="A42">
        <f t="shared" si="3"/>
        <v>37</v>
      </c>
      <c r="B42" s="10">
        <v>2.0393333333333334</v>
      </c>
      <c r="C42" s="23">
        <f t="shared" si="4"/>
        <v>62.212499999999991</v>
      </c>
      <c r="D42" s="9">
        <v>1.7493333333333332</v>
      </c>
      <c r="E42" s="26">
        <f t="shared" si="5"/>
        <v>53.287500000000001</v>
      </c>
      <c r="F42" s="11">
        <v>1.7774999999999999</v>
      </c>
      <c r="G42" s="23">
        <f t="shared" si="2"/>
        <v>92.55</v>
      </c>
      <c r="H42" s="9">
        <v>1.5225</v>
      </c>
      <c r="I42" s="26">
        <f t="shared" si="2"/>
        <v>79.400000000000006</v>
      </c>
      <c r="J42" s="11">
        <v>1.5425</v>
      </c>
      <c r="K42" s="23">
        <f t="shared" si="6"/>
        <v>150.29</v>
      </c>
      <c r="L42" s="9">
        <v>1.3233333333333335</v>
      </c>
      <c r="M42" s="26">
        <f t="shared" si="7"/>
        <v>124.49</v>
      </c>
      <c r="N42" s="11">
        <v>1.2524166666666665</v>
      </c>
      <c r="O42" s="15">
        <v>1.0374166666666667</v>
      </c>
      <c r="P42" s="10">
        <v>0.42250000000000004</v>
      </c>
      <c r="Q42" s="15">
        <v>0.36333333333333334</v>
      </c>
      <c r="S42" s="10">
        <v>92.55</v>
      </c>
      <c r="T42" s="9">
        <v>79.400000000000006</v>
      </c>
      <c r="U42" s="47">
        <v>64829.821717990271</v>
      </c>
      <c r="V42" s="48">
        <v>75566.750629722912</v>
      </c>
      <c r="W42" s="10">
        <v>25.35</v>
      </c>
      <c r="X42" s="9">
        <v>21.8</v>
      </c>
      <c r="Y42" s="47">
        <v>236686.39053254435</v>
      </c>
      <c r="Z42" s="60">
        <v>275229.35779816518</v>
      </c>
    </row>
    <row r="43" spans="1:26" x14ac:dyDescent="0.2">
      <c r="A43">
        <f t="shared" si="3"/>
        <v>38</v>
      </c>
      <c r="B43" s="10">
        <v>2.1443333333333334</v>
      </c>
      <c r="C43" s="23">
        <f t="shared" si="4"/>
        <v>65.45</v>
      </c>
      <c r="D43" s="9">
        <v>1.8216666666666665</v>
      </c>
      <c r="E43" s="26">
        <f t="shared" si="5"/>
        <v>55.475000000000001</v>
      </c>
      <c r="F43" s="11">
        <v>1.8699999999999999</v>
      </c>
      <c r="G43" s="23">
        <f t="shared" si="2"/>
        <v>97.3</v>
      </c>
      <c r="H43" s="9">
        <v>1.585</v>
      </c>
      <c r="I43" s="26">
        <f t="shared" si="2"/>
        <v>82.65</v>
      </c>
      <c r="J43" s="11">
        <v>1.6216666666666666</v>
      </c>
      <c r="K43" s="23">
        <f t="shared" si="6"/>
        <v>158.19</v>
      </c>
      <c r="L43" s="9">
        <v>1.3775000000000002</v>
      </c>
      <c r="M43" s="26">
        <f t="shared" si="7"/>
        <v>129.38999999999999</v>
      </c>
      <c r="N43" s="11">
        <v>1.3182499999999999</v>
      </c>
      <c r="O43" s="15">
        <v>1.0782499999999999</v>
      </c>
      <c r="P43" s="10">
        <v>0.44833333333333331</v>
      </c>
      <c r="Q43" s="15">
        <v>0.38500000000000001</v>
      </c>
      <c r="S43" s="10">
        <v>97.3</v>
      </c>
      <c r="T43" s="9">
        <v>82.65</v>
      </c>
      <c r="U43" s="47">
        <v>61664.953751284695</v>
      </c>
      <c r="V43" s="48">
        <v>72595.281306715056</v>
      </c>
      <c r="W43" s="10">
        <v>26.9</v>
      </c>
      <c r="X43" s="9">
        <v>23.1</v>
      </c>
      <c r="Y43" s="47">
        <v>223048.3271375465</v>
      </c>
      <c r="Z43" s="60">
        <v>259740.25974025973</v>
      </c>
    </row>
    <row r="44" spans="1:26" x14ac:dyDescent="0.2">
      <c r="A44">
        <f t="shared" si="3"/>
        <v>39</v>
      </c>
      <c r="B44" s="10">
        <v>2.253333333333333</v>
      </c>
      <c r="C44" s="23">
        <f t="shared" si="4"/>
        <v>68.722500000000011</v>
      </c>
      <c r="D44" s="9">
        <v>1.8943333333333332</v>
      </c>
      <c r="E44" s="26">
        <f t="shared" si="5"/>
        <v>57.697499999999998</v>
      </c>
      <c r="F44" s="11">
        <v>1.9635000000000002</v>
      </c>
      <c r="G44" s="23">
        <f t="shared" si="2"/>
        <v>102.25</v>
      </c>
      <c r="H44" s="9">
        <v>1.6484999999999999</v>
      </c>
      <c r="I44" s="26">
        <f t="shared" si="2"/>
        <v>85.95</v>
      </c>
      <c r="J44" s="11">
        <v>1.7041666666666666</v>
      </c>
      <c r="K44" s="23">
        <f t="shared" si="6"/>
        <v>166.69</v>
      </c>
      <c r="L44" s="9">
        <v>1.4325000000000001</v>
      </c>
      <c r="M44" s="26">
        <f t="shared" si="7"/>
        <v>134.79</v>
      </c>
      <c r="N44" s="11">
        <v>1.3890833333333332</v>
      </c>
      <c r="O44" s="15">
        <v>1.1232499999999999</v>
      </c>
      <c r="P44" s="10">
        <v>0.47750000000000004</v>
      </c>
      <c r="Q44" s="15">
        <v>0.40916666666666668</v>
      </c>
      <c r="S44" s="10">
        <v>102.25</v>
      </c>
      <c r="T44" s="9">
        <v>85.95</v>
      </c>
      <c r="U44" s="47">
        <v>50929.462694168571</v>
      </c>
      <c r="V44" s="48">
        <v>69808.027923211164</v>
      </c>
      <c r="W44" s="10">
        <v>28.650000000000002</v>
      </c>
      <c r="X44" s="9">
        <v>24.55</v>
      </c>
      <c r="Y44" s="47">
        <v>209424.08376963349</v>
      </c>
      <c r="Z44" s="60">
        <v>244399.18533604886</v>
      </c>
    </row>
    <row r="45" spans="1:26" x14ac:dyDescent="0.2">
      <c r="A45">
        <f t="shared" si="3"/>
        <v>40</v>
      </c>
      <c r="B45" s="10">
        <v>2.3693333333333331</v>
      </c>
      <c r="C45" s="23">
        <f t="shared" si="4"/>
        <v>72.222500000000011</v>
      </c>
      <c r="D45" s="9">
        <v>1.9666666666666666</v>
      </c>
      <c r="E45" s="26">
        <f t="shared" si="5"/>
        <v>59.911249999999995</v>
      </c>
      <c r="F45" s="11">
        <v>2.0635000000000003</v>
      </c>
      <c r="G45" s="23">
        <f t="shared" si="2"/>
        <v>107.55</v>
      </c>
      <c r="H45" s="9">
        <v>1.7117499999999999</v>
      </c>
      <c r="I45" s="26">
        <f t="shared" si="2"/>
        <v>89.25</v>
      </c>
      <c r="J45" s="11">
        <v>1.7925</v>
      </c>
      <c r="K45" s="23">
        <f t="shared" si="6"/>
        <v>175.69</v>
      </c>
      <c r="L45" s="9">
        <v>1.4875</v>
      </c>
      <c r="M45" s="26">
        <f t="shared" si="7"/>
        <v>140.38999999999999</v>
      </c>
      <c r="N45" s="11">
        <v>1.4640833333333334</v>
      </c>
      <c r="O45" s="15">
        <v>1.1699166666666665</v>
      </c>
      <c r="P45" s="10">
        <v>0.51</v>
      </c>
      <c r="Q45" s="15">
        <v>0.4366666666666667</v>
      </c>
      <c r="S45" s="10">
        <v>107.55</v>
      </c>
      <c r="T45" s="9">
        <v>89.25</v>
      </c>
      <c r="U45" s="47">
        <v>48461.352071722795</v>
      </c>
      <c r="V45" s="48">
        <v>67226.890756302528</v>
      </c>
      <c r="W45" s="10">
        <v>30.6</v>
      </c>
      <c r="X45" s="9">
        <v>26.200000000000003</v>
      </c>
      <c r="Y45" s="47">
        <v>196078.43137254901</v>
      </c>
      <c r="Z45" s="60">
        <v>229007.63358778626</v>
      </c>
    </row>
    <row r="46" spans="1:26" x14ac:dyDescent="0.2">
      <c r="A46">
        <f t="shared" si="3"/>
        <v>41</v>
      </c>
      <c r="B46" s="10">
        <v>2.4910000000000001</v>
      </c>
      <c r="C46" s="23">
        <f t="shared" si="4"/>
        <v>75.985000000000014</v>
      </c>
      <c r="D46" s="9">
        <v>2.0393333333333334</v>
      </c>
      <c r="E46" s="26">
        <f t="shared" si="5"/>
        <v>62.125</v>
      </c>
      <c r="F46" s="11">
        <v>2.1710000000000003</v>
      </c>
      <c r="G46" s="23">
        <f t="shared" si="2"/>
        <v>113.05</v>
      </c>
      <c r="H46" s="9">
        <v>1.7749999999999999</v>
      </c>
      <c r="I46" s="26">
        <f t="shared" si="2"/>
        <v>92.55</v>
      </c>
      <c r="J46" s="11">
        <v>1.8841666666666665</v>
      </c>
      <c r="K46" s="23">
        <f>N46*120</f>
        <v>185.39</v>
      </c>
      <c r="L46" s="9">
        <v>1.5425</v>
      </c>
      <c r="M46" s="26">
        <f t="shared" si="7"/>
        <v>146.38999999999999</v>
      </c>
      <c r="N46" s="11">
        <v>1.5449166666666665</v>
      </c>
      <c r="O46" s="15">
        <v>1.2199166666666665</v>
      </c>
      <c r="P46" s="10">
        <v>0.54583333333333328</v>
      </c>
      <c r="Q46" s="15">
        <v>0.46666666666666662</v>
      </c>
      <c r="S46" s="10">
        <v>113.05</v>
      </c>
      <c r="T46" s="9">
        <v>92.55</v>
      </c>
      <c r="U46" s="47">
        <v>46061.72270842929</v>
      </c>
      <c r="V46" s="48">
        <v>64829.821717990271</v>
      </c>
      <c r="W46" s="10">
        <v>32.75</v>
      </c>
      <c r="X46" s="9">
        <v>27.999999999999996</v>
      </c>
      <c r="Y46" s="47">
        <v>183206.10687022904</v>
      </c>
      <c r="Z46" s="60">
        <v>214285.71428571432</v>
      </c>
    </row>
    <row r="47" spans="1:26" x14ac:dyDescent="0.2">
      <c r="A47">
        <f t="shared" si="3"/>
        <v>42</v>
      </c>
      <c r="B47" s="10">
        <v>2.6199999999999997</v>
      </c>
      <c r="C47" s="23">
        <f t="shared" si="4"/>
        <v>79.834999999999994</v>
      </c>
      <c r="D47" s="9">
        <v>2.1126666666666667</v>
      </c>
      <c r="E47" s="26">
        <f t="shared" si="5"/>
        <v>64.399999999999991</v>
      </c>
      <c r="F47" s="11">
        <v>2.2809999999999997</v>
      </c>
      <c r="G47" s="23">
        <f t="shared" si="2"/>
        <v>118.85</v>
      </c>
      <c r="H47" s="9">
        <v>1.8399999999999999</v>
      </c>
      <c r="I47" s="26">
        <f t="shared" si="2"/>
        <v>95.85</v>
      </c>
      <c r="J47" s="11">
        <v>1.9808333333333332</v>
      </c>
      <c r="K47" s="23">
        <f t="shared" si="6"/>
        <v>195.69</v>
      </c>
      <c r="L47" s="9">
        <v>1.5974999999999999</v>
      </c>
      <c r="M47" s="26">
        <f t="shared" si="7"/>
        <v>153.99</v>
      </c>
      <c r="N47" s="11">
        <v>1.6307499999999999</v>
      </c>
      <c r="O47" s="15">
        <v>1.28325</v>
      </c>
      <c r="P47" s="10">
        <v>0.58499999999999996</v>
      </c>
      <c r="Q47" s="15">
        <v>0.4991666666666667</v>
      </c>
      <c r="S47" s="10">
        <v>118.85</v>
      </c>
      <c r="T47" s="9">
        <v>95.85</v>
      </c>
      <c r="U47" s="47">
        <v>43840.420868040339</v>
      </c>
      <c r="V47" s="48">
        <v>62597.809076682315</v>
      </c>
      <c r="W47" s="10">
        <v>35.099999999999994</v>
      </c>
      <c r="X47" s="9">
        <v>29.950000000000003</v>
      </c>
      <c r="Y47" s="47">
        <v>170940.17094017097</v>
      </c>
      <c r="Z47" s="60">
        <v>200333.88981636061</v>
      </c>
    </row>
    <row r="48" spans="1:26" x14ac:dyDescent="0.2">
      <c r="A48">
        <f t="shared" si="3"/>
        <v>43</v>
      </c>
      <c r="B48" s="10">
        <v>2.753333333333333</v>
      </c>
      <c r="C48" s="23">
        <f t="shared" si="4"/>
        <v>84</v>
      </c>
      <c r="D48" s="9">
        <v>2.1910000000000003</v>
      </c>
      <c r="E48" s="26">
        <f t="shared" si="5"/>
        <v>66.823750000000004</v>
      </c>
      <c r="F48" s="11">
        <v>2.4</v>
      </c>
      <c r="G48" s="23">
        <f t="shared" si="2"/>
        <v>124.89999999999999</v>
      </c>
      <c r="H48" s="9">
        <v>1.9092500000000001</v>
      </c>
      <c r="I48" s="26">
        <f t="shared" si="2"/>
        <v>99.4</v>
      </c>
      <c r="J48" s="11">
        <v>2.0816666666666666</v>
      </c>
      <c r="K48" s="23">
        <f t="shared" si="6"/>
        <v>206.59</v>
      </c>
      <c r="L48" s="9">
        <v>1.6566666666666667</v>
      </c>
      <c r="M48" s="26">
        <f t="shared" si="7"/>
        <v>162.09</v>
      </c>
      <c r="N48" s="11">
        <v>1.7215833333333335</v>
      </c>
      <c r="O48" s="15">
        <v>1.3507500000000001</v>
      </c>
      <c r="P48" s="10">
        <v>0.62916666666666665</v>
      </c>
      <c r="Q48" s="15">
        <v>0.53500000000000003</v>
      </c>
      <c r="S48" s="10">
        <v>124.89999999999999</v>
      </c>
      <c r="T48" s="9">
        <v>99.4</v>
      </c>
      <c r="U48" s="47">
        <v>41666.666666666672</v>
      </c>
      <c r="V48" s="48">
        <v>60362.173038229375</v>
      </c>
      <c r="W48" s="10">
        <v>37.75</v>
      </c>
      <c r="X48" s="9">
        <v>32.1</v>
      </c>
      <c r="Y48" s="47">
        <v>158940.39735099339</v>
      </c>
      <c r="Z48" s="60">
        <v>186915.88785046726</v>
      </c>
    </row>
    <row r="49" spans="1:26" x14ac:dyDescent="0.2">
      <c r="A49">
        <f t="shared" si="3"/>
        <v>44</v>
      </c>
      <c r="B49" s="10">
        <v>2.895</v>
      </c>
      <c r="C49" s="23">
        <f t="shared" si="4"/>
        <v>88.322499999999991</v>
      </c>
      <c r="D49" s="9">
        <v>2.2826666666666666</v>
      </c>
      <c r="E49" s="26">
        <f t="shared" si="5"/>
        <v>69.623749999999987</v>
      </c>
      <c r="F49" s="11">
        <v>2.5234999999999999</v>
      </c>
      <c r="G49" s="23">
        <f t="shared" si="2"/>
        <v>131.35</v>
      </c>
      <c r="H49" s="9">
        <v>1.9892499999999997</v>
      </c>
      <c r="I49" s="26">
        <f t="shared" si="2"/>
        <v>103.6</v>
      </c>
      <c r="J49" s="11">
        <v>2.1891666666666665</v>
      </c>
      <c r="K49" s="23">
        <f t="shared" si="6"/>
        <v>217.89</v>
      </c>
      <c r="L49" s="9">
        <v>1.7266666666666666</v>
      </c>
      <c r="M49" s="26">
        <f t="shared" si="7"/>
        <v>170.89</v>
      </c>
      <c r="N49" s="11">
        <v>1.81575</v>
      </c>
      <c r="O49" s="15">
        <v>1.4240833333333331</v>
      </c>
      <c r="P49" s="10">
        <v>0.67833333333333334</v>
      </c>
      <c r="Q49" s="15">
        <v>0.57583333333333331</v>
      </c>
      <c r="S49" s="10">
        <v>131.35</v>
      </c>
      <c r="T49" s="9">
        <v>103.6</v>
      </c>
      <c r="U49" s="47">
        <v>39627.501486031309</v>
      </c>
      <c r="V49" s="48">
        <v>50270.202337564413</v>
      </c>
      <c r="W49" s="10">
        <v>40.700000000000003</v>
      </c>
      <c r="X49" s="9">
        <v>34.549999999999997</v>
      </c>
      <c r="Y49" s="47">
        <v>147420.14742014743</v>
      </c>
      <c r="Z49" s="60">
        <v>173661.36034732274</v>
      </c>
    </row>
    <row r="50" spans="1:26" x14ac:dyDescent="0.2">
      <c r="A50">
        <f t="shared" si="3"/>
        <v>45</v>
      </c>
      <c r="B50" s="10">
        <v>3.0510000000000002</v>
      </c>
      <c r="C50" s="23">
        <f t="shared" si="4"/>
        <v>93.012499999999989</v>
      </c>
      <c r="D50" s="9">
        <v>2.3926666666666665</v>
      </c>
      <c r="E50" s="26">
        <f t="shared" si="5"/>
        <v>72.922499999999999</v>
      </c>
      <c r="F50" s="11">
        <v>2.6574999999999998</v>
      </c>
      <c r="G50" s="23">
        <f t="shared" si="2"/>
        <v>138.44999999999999</v>
      </c>
      <c r="H50" s="9">
        <v>2.0834999999999999</v>
      </c>
      <c r="I50" s="26">
        <f t="shared" si="2"/>
        <v>108.6</v>
      </c>
      <c r="J50" s="11">
        <v>2.3074999999999997</v>
      </c>
      <c r="K50" s="23">
        <f t="shared" si="6"/>
        <v>229.29</v>
      </c>
      <c r="L50" s="9">
        <v>1.8099999999999998</v>
      </c>
      <c r="M50" s="26">
        <f t="shared" si="7"/>
        <v>179.69</v>
      </c>
      <c r="N50" s="11">
        <v>1.9107499999999999</v>
      </c>
      <c r="O50" s="15">
        <v>1.4974166666666666</v>
      </c>
      <c r="P50" s="10">
        <v>0.73333333333333339</v>
      </c>
      <c r="Q50" s="15">
        <v>0.62249999999999994</v>
      </c>
      <c r="S50" s="10">
        <v>138.44999999999999</v>
      </c>
      <c r="T50" s="9">
        <v>108.6</v>
      </c>
      <c r="U50" s="47">
        <v>37629.35089369709</v>
      </c>
      <c r="V50" s="48">
        <v>47996.160307175429</v>
      </c>
      <c r="W50" s="10">
        <v>44</v>
      </c>
      <c r="X50" s="9">
        <v>37.349999999999994</v>
      </c>
      <c r="Y50" s="47">
        <v>136363.63636363635</v>
      </c>
      <c r="Z50" s="60">
        <v>160642.5702811245</v>
      </c>
    </row>
    <row r="51" spans="1:26" x14ac:dyDescent="0.2">
      <c r="A51">
        <f t="shared" si="3"/>
        <v>46</v>
      </c>
      <c r="B51" s="10">
        <v>3.2143333333333337</v>
      </c>
      <c r="C51" s="23">
        <f t="shared" si="4"/>
        <v>98</v>
      </c>
      <c r="D51" s="9">
        <v>2.5266666666666664</v>
      </c>
      <c r="E51" s="26">
        <f t="shared" si="5"/>
        <v>77.034999999999997</v>
      </c>
      <c r="F51" s="11">
        <v>2.8</v>
      </c>
      <c r="G51" s="23">
        <f t="shared" si="2"/>
        <v>145.85</v>
      </c>
      <c r="H51" s="9">
        <v>2.2010000000000001</v>
      </c>
      <c r="I51" s="26">
        <f t="shared" si="2"/>
        <v>114.7</v>
      </c>
      <c r="J51" s="11">
        <v>2.4308333333333332</v>
      </c>
      <c r="K51" s="23">
        <f t="shared" si="6"/>
        <v>240.79000000000002</v>
      </c>
      <c r="L51" s="9">
        <v>1.9116666666666666</v>
      </c>
      <c r="M51" s="26">
        <f t="shared" si="7"/>
        <v>188.48</v>
      </c>
      <c r="N51" s="11">
        <v>2.0065833333333334</v>
      </c>
      <c r="O51" s="15">
        <v>1.5706666666666667</v>
      </c>
      <c r="P51" s="10">
        <v>0.79249999999999998</v>
      </c>
      <c r="Q51" s="15">
        <v>0.67416666666666669</v>
      </c>
      <c r="S51" s="10">
        <v>145.85</v>
      </c>
      <c r="T51" s="9">
        <v>114.7</v>
      </c>
      <c r="U51" s="47">
        <v>35714.285714285717</v>
      </c>
      <c r="V51" s="48">
        <v>45433.893684688774</v>
      </c>
      <c r="W51" s="10">
        <v>47.55</v>
      </c>
      <c r="X51" s="9">
        <v>40.450000000000003</v>
      </c>
      <c r="Y51" s="47">
        <v>126182.96529968454</v>
      </c>
      <c r="Z51" s="60">
        <v>148331.27317676143</v>
      </c>
    </row>
    <row r="52" spans="1:26" x14ac:dyDescent="0.2">
      <c r="A52">
        <f t="shared" si="3"/>
        <v>47</v>
      </c>
      <c r="B52" s="10">
        <v>3.39</v>
      </c>
      <c r="C52" s="23">
        <f t="shared" si="4"/>
        <v>103.3725</v>
      </c>
      <c r="D52" s="9">
        <v>2.681</v>
      </c>
      <c r="E52" s="26">
        <f t="shared" si="5"/>
        <v>81.698750000000004</v>
      </c>
      <c r="F52" s="11">
        <v>2.9535</v>
      </c>
      <c r="G52" s="23">
        <f t="shared" si="2"/>
        <v>153.94999999999999</v>
      </c>
      <c r="H52" s="9">
        <v>2.3342499999999999</v>
      </c>
      <c r="I52" s="26">
        <f t="shared" si="2"/>
        <v>121.65000000000002</v>
      </c>
      <c r="J52" s="11">
        <v>2.565833333333333</v>
      </c>
      <c r="K52" s="23">
        <f t="shared" si="6"/>
        <v>252.49</v>
      </c>
      <c r="L52" s="9">
        <v>2.0275000000000003</v>
      </c>
      <c r="M52" s="26">
        <f t="shared" si="7"/>
        <v>197.29</v>
      </c>
      <c r="N52" s="11">
        <v>2.1040833333333335</v>
      </c>
      <c r="O52" s="15">
        <v>1.6440833333333333</v>
      </c>
      <c r="P52" s="10">
        <v>0.85916666666666675</v>
      </c>
      <c r="Q52" s="15">
        <v>0.73083333333333333</v>
      </c>
      <c r="S52" s="10">
        <v>153.94999999999999</v>
      </c>
      <c r="T52" s="9">
        <v>121.65000000000002</v>
      </c>
      <c r="U52" s="47">
        <v>29498.52507374631</v>
      </c>
      <c r="V52" s="48">
        <v>42840.312734282961</v>
      </c>
      <c r="W52" s="10">
        <v>51.550000000000004</v>
      </c>
      <c r="X52" s="9">
        <v>43.85</v>
      </c>
      <c r="Y52" s="47">
        <v>116391.85257032007</v>
      </c>
      <c r="Z52" s="60">
        <v>136830.10262257696</v>
      </c>
    </row>
    <row r="53" spans="1:26" x14ac:dyDescent="0.2">
      <c r="A53">
        <f t="shared" si="3"/>
        <v>48</v>
      </c>
      <c r="B53" s="10">
        <v>3.5750000000000002</v>
      </c>
      <c r="C53" s="23">
        <f t="shared" si="4"/>
        <v>109.08625000000001</v>
      </c>
      <c r="D53" s="9">
        <v>2.85</v>
      </c>
      <c r="E53" s="26">
        <f t="shared" si="5"/>
        <v>86.922500000000014</v>
      </c>
      <c r="F53" s="11">
        <v>3.1167500000000001</v>
      </c>
      <c r="G53" s="23">
        <f t="shared" si="2"/>
        <v>162.30000000000001</v>
      </c>
      <c r="H53" s="9">
        <v>2.4835000000000003</v>
      </c>
      <c r="I53" s="26">
        <f t="shared" si="2"/>
        <v>129.35</v>
      </c>
      <c r="J53" s="11">
        <v>2.7050000000000001</v>
      </c>
      <c r="K53" s="23">
        <f t="shared" si="6"/>
        <v>264.99</v>
      </c>
      <c r="L53" s="9">
        <v>2.1558333333333333</v>
      </c>
      <c r="M53" s="26">
        <f t="shared" si="7"/>
        <v>206.29</v>
      </c>
      <c r="N53" s="11">
        <v>2.20825</v>
      </c>
      <c r="O53" s="15">
        <v>1.7190833333333333</v>
      </c>
      <c r="P53" s="10">
        <v>0.93166666666666664</v>
      </c>
      <c r="Q53" s="15">
        <v>0.79333333333333333</v>
      </c>
      <c r="S53" s="10">
        <v>162.30000000000001</v>
      </c>
      <c r="T53" s="9">
        <v>129.35</v>
      </c>
      <c r="U53" s="47">
        <v>27972.027972027969</v>
      </c>
      <c r="V53" s="48">
        <v>40265.753976243206</v>
      </c>
      <c r="W53" s="10">
        <v>55.9</v>
      </c>
      <c r="X53" s="9">
        <v>47.6</v>
      </c>
      <c r="Y53" s="47">
        <v>107334.5259391771</v>
      </c>
      <c r="Z53" s="60">
        <v>126050.42016806723</v>
      </c>
    </row>
    <row r="54" spans="1:26" x14ac:dyDescent="0.2">
      <c r="A54">
        <f t="shared" si="3"/>
        <v>49</v>
      </c>
      <c r="B54" s="10">
        <v>3.7716666666666669</v>
      </c>
      <c r="C54" s="23">
        <f t="shared" si="4"/>
        <v>115.01</v>
      </c>
      <c r="D54" s="9">
        <v>3.0310000000000001</v>
      </c>
      <c r="E54" s="26">
        <f t="shared" si="5"/>
        <v>92.435000000000002</v>
      </c>
      <c r="F54" s="11">
        <v>3.286</v>
      </c>
      <c r="G54" s="23">
        <f t="shared" si="2"/>
        <v>171.2</v>
      </c>
      <c r="H54" s="9">
        <v>2.641</v>
      </c>
      <c r="I54" s="26">
        <f t="shared" si="2"/>
        <v>137.55000000000001</v>
      </c>
      <c r="J54" s="11">
        <v>2.8533333333333331</v>
      </c>
      <c r="K54" s="23">
        <f t="shared" si="6"/>
        <v>278.19</v>
      </c>
      <c r="L54" s="9">
        <v>2.2925</v>
      </c>
      <c r="M54" s="26">
        <f t="shared" si="7"/>
        <v>216.39</v>
      </c>
      <c r="N54" s="11">
        <v>2.3182499999999999</v>
      </c>
      <c r="O54" s="15">
        <v>1.8032499999999998</v>
      </c>
      <c r="P54" s="10">
        <v>1.0116666666666667</v>
      </c>
      <c r="Q54" s="15">
        <v>0.86083333333333334</v>
      </c>
      <c r="S54" s="10">
        <v>171.2</v>
      </c>
      <c r="T54" s="9">
        <v>137.55000000000001</v>
      </c>
      <c r="U54" s="47">
        <v>26513.477684489615</v>
      </c>
      <c r="V54" s="48">
        <v>37864.445285876565</v>
      </c>
      <c r="W54" s="10">
        <v>60.7</v>
      </c>
      <c r="X54" s="9">
        <v>51.65</v>
      </c>
      <c r="Y54" s="47">
        <v>98846.787479406907</v>
      </c>
      <c r="Z54" s="60">
        <v>116166.50532429815</v>
      </c>
    </row>
    <row r="55" spans="1:26" x14ac:dyDescent="0.2">
      <c r="A55">
        <f t="shared" si="3"/>
        <v>50</v>
      </c>
      <c r="B55" s="10">
        <v>3.9816666666666669</v>
      </c>
      <c r="C55" s="23">
        <f t="shared" si="4"/>
        <v>121.39750000000001</v>
      </c>
      <c r="D55" s="9">
        <v>3.2250000000000001</v>
      </c>
      <c r="E55" s="26">
        <f t="shared" si="5"/>
        <v>98.236249999999998</v>
      </c>
      <c r="F55" s="11">
        <v>3.4685000000000001</v>
      </c>
      <c r="G55" s="23">
        <f t="shared" si="2"/>
        <v>180.7</v>
      </c>
      <c r="H55" s="9">
        <v>2.8067500000000001</v>
      </c>
      <c r="I55" s="26">
        <f t="shared" si="2"/>
        <v>146.30000000000001</v>
      </c>
      <c r="J55" s="11">
        <v>3.0116666666666663</v>
      </c>
      <c r="K55" s="23">
        <f t="shared" si="6"/>
        <v>292.58999999999997</v>
      </c>
      <c r="L55" s="9">
        <v>2.4383333333333335</v>
      </c>
      <c r="M55" s="26">
        <f t="shared" si="7"/>
        <v>227.99</v>
      </c>
      <c r="N55" s="11">
        <v>2.4382499999999996</v>
      </c>
      <c r="O55" s="15">
        <v>1.8999166666666667</v>
      </c>
      <c r="P55" s="10">
        <v>1.0991666666666666</v>
      </c>
      <c r="Q55" s="15">
        <v>0.93</v>
      </c>
      <c r="S55" s="10">
        <v>180.7</v>
      </c>
      <c r="T55" s="9">
        <v>146.30000000000001</v>
      </c>
      <c r="U55" s="47">
        <v>25115.110925073248</v>
      </c>
      <c r="V55" s="48">
        <v>35628.39583147769</v>
      </c>
      <c r="W55" s="10">
        <v>65.95</v>
      </c>
      <c r="X55" s="9">
        <v>55.800000000000004</v>
      </c>
      <c r="Y55" s="47">
        <v>90978.013646702049</v>
      </c>
      <c r="Z55" s="60">
        <v>107526.8817204301</v>
      </c>
    </row>
    <row r="56" spans="1:26" x14ac:dyDescent="0.2">
      <c r="A56">
        <f t="shared" si="3"/>
        <v>51</v>
      </c>
      <c r="B56" s="10">
        <v>4.2050000000000001</v>
      </c>
      <c r="C56" s="23">
        <f t="shared" si="4"/>
        <v>128.16125</v>
      </c>
      <c r="D56" s="9">
        <v>3.4283333333333332</v>
      </c>
      <c r="E56" s="26">
        <f t="shared" si="5"/>
        <v>104.36125</v>
      </c>
      <c r="F56" s="11">
        <v>3.6617500000000001</v>
      </c>
      <c r="G56" s="23">
        <f t="shared" si="2"/>
        <v>190.85</v>
      </c>
      <c r="H56" s="9">
        <v>2.9817499999999999</v>
      </c>
      <c r="I56" s="26">
        <f t="shared" si="2"/>
        <v>155.55000000000001</v>
      </c>
      <c r="J56" s="11">
        <v>3.1808333333333332</v>
      </c>
      <c r="K56" s="23">
        <f t="shared" si="6"/>
        <v>307.69</v>
      </c>
      <c r="L56" s="9">
        <v>2.5925000000000002</v>
      </c>
      <c r="M56" s="26">
        <f t="shared" si="7"/>
        <v>241.19000000000003</v>
      </c>
      <c r="N56" s="11">
        <v>2.5640833333333335</v>
      </c>
      <c r="O56" s="15">
        <v>2.0099166666666668</v>
      </c>
      <c r="P56" s="10">
        <v>1.1941666666666666</v>
      </c>
      <c r="Q56" s="15">
        <v>1.0024999999999999</v>
      </c>
      <c r="S56" s="10">
        <v>190.85</v>
      </c>
      <c r="T56" s="9">
        <v>155.55000000000001</v>
      </c>
      <c r="U56" s="47">
        <v>23781.212841854933</v>
      </c>
      <c r="V56" s="48">
        <v>29168.692270296549</v>
      </c>
      <c r="W56" s="10">
        <v>71.649999999999991</v>
      </c>
      <c r="X56" s="9">
        <v>60.15</v>
      </c>
      <c r="Y56" s="47">
        <v>83740.404745289605</v>
      </c>
      <c r="Z56" s="60">
        <v>99750.623441396514</v>
      </c>
    </row>
    <row r="57" spans="1:26" x14ac:dyDescent="0.2">
      <c r="A57">
        <f t="shared" si="3"/>
        <v>52</v>
      </c>
      <c r="B57" s="10">
        <v>4.4399999999999995</v>
      </c>
      <c r="C57" s="23">
        <f t="shared" si="4"/>
        <v>135.45000000000002</v>
      </c>
      <c r="D57" s="9">
        <v>3.6383333333333336</v>
      </c>
      <c r="E57" s="26">
        <f t="shared" si="5"/>
        <v>110.95</v>
      </c>
      <c r="F57" s="11">
        <v>3.87</v>
      </c>
      <c r="G57" s="23">
        <f t="shared" si="2"/>
        <v>201.55</v>
      </c>
      <c r="H57" s="9">
        <v>3.17</v>
      </c>
      <c r="I57" s="26">
        <f t="shared" si="2"/>
        <v>165.25</v>
      </c>
      <c r="J57" s="11">
        <v>3.3591666666666669</v>
      </c>
      <c r="K57" s="23">
        <f t="shared" si="6"/>
        <v>324.29000000000002</v>
      </c>
      <c r="L57" s="9">
        <v>2.7541666666666669</v>
      </c>
      <c r="M57" s="26">
        <f t="shared" si="7"/>
        <v>255.98999999999998</v>
      </c>
      <c r="N57" s="11">
        <v>2.7024166666666667</v>
      </c>
      <c r="O57" s="15">
        <v>2.1332499999999999</v>
      </c>
      <c r="P57" s="10">
        <v>1.2991666666666666</v>
      </c>
      <c r="Q57" s="15">
        <v>1.0833333333333333</v>
      </c>
      <c r="S57" s="10">
        <v>201.55</v>
      </c>
      <c r="T57" s="9">
        <v>165.25</v>
      </c>
      <c r="U57" s="47">
        <v>22522.522522522526</v>
      </c>
      <c r="V57" s="48">
        <v>27485.11223087494</v>
      </c>
      <c r="W57" s="10">
        <v>77.949999999999989</v>
      </c>
      <c r="X57" s="9">
        <v>65</v>
      </c>
      <c r="Y57" s="47">
        <v>76972.418216805643</v>
      </c>
      <c r="Z57" s="60">
        <v>92307.692307692327</v>
      </c>
    </row>
    <row r="58" spans="1:26" x14ac:dyDescent="0.2">
      <c r="A58">
        <f t="shared" si="3"/>
        <v>53</v>
      </c>
      <c r="B58" s="10">
        <v>4.6909999999999998</v>
      </c>
      <c r="C58" s="23">
        <f t="shared" si="4"/>
        <v>143.0625</v>
      </c>
      <c r="D58" s="9">
        <v>3.8566666666666669</v>
      </c>
      <c r="E58" s="26">
        <f t="shared" si="5"/>
        <v>117.66125</v>
      </c>
      <c r="F58" s="11">
        <v>4.0875000000000004</v>
      </c>
      <c r="G58" s="23">
        <f t="shared" si="2"/>
        <v>212.85</v>
      </c>
      <c r="H58" s="9">
        <v>3.3617499999999998</v>
      </c>
      <c r="I58" s="26">
        <f t="shared" si="2"/>
        <v>175.35</v>
      </c>
      <c r="J58" s="11">
        <v>3.5474999999999999</v>
      </c>
      <c r="K58" s="23">
        <f t="shared" si="6"/>
        <v>342.19</v>
      </c>
      <c r="L58" s="9">
        <v>2.9224999999999999</v>
      </c>
      <c r="M58" s="26">
        <f t="shared" si="7"/>
        <v>272.19</v>
      </c>
      <c r="N58" s="11">
        <v>2.8515833333333331</v>
      </c>
      <c r="O58" s="15">
        <v>2.2682500000000001</v>
      </c>
      <c r="P58" s="10">
        <v>1.4158333333333333</v>
      </c>
      <c r="Q58" s="15">
        <v>1.1758333333333333</v>
      </c>
      <c r="S58" s="10">
        <v>212.85</v>
      </c>
      <c r="T58" s="9">
        <v>175.35</v>
      </c>
      <c r="U58" s="47">
        <v>21317.41632914091</v>
      </c>
      <c r="V58" s="48">
        <v>25929.127052722557</v>
      </c>
      <c r="W58" s="10">
        <v>84.95</v>
      </c>
      <c r="X58" s="9">
        <v>70.55</v>
      </c>
      <c r="Y58" s="47">
        <v>70629.782224838142</v>
      </c>
      <c r="Z58" s="60">
        <v>85046.066619418852</v>
      </c>
    </row>
    <row r="59" spans="1:26" x14ac:dyDescent="0.2">
      <c r="A59">
        <f t="shared" si="3"/>
        <v>54</v>
      </c>
      <c r="B59" s="10">
        <v>4.9566666666666661</v>
      </c>
      <c r="C59" s="23">
        <f t="shared" si="4"/>
        <v>151.11249999999998</v>
      </c>
      <c r="D59" s="9">
        <v>4.0843333333333334</v>
      </c>
      <c r="E59" s="26">
        <f t="shared" si="5"/>
        <v>124.5125</v>
      </c>
      <c r="F59" s="11">
        <v>4.3174999999999999</v>
      </c>
      <c r="G59" s="23">
        <f t="shared" si="2"/>
        <v>225</v>
      </c>
      <c r="H59" s="9">
        <v>3.5575000000000001</v>
      </c>
      <c r="I59" s="26">
        <f t="shared" si="2"/>
        <v>185.7</v>
      </c>
      <c r="J59" s="11">
        <v>3.75</v>
      </c>
      <c r="K59" s="23">
        <f t="shared" si="6"/>
        <v>362.09</v>
      </c>
      <c r="L59" s="9">
        <v>3.0949999999999998</v>
      </c>
      <c r="M59" s="26">
        <f t="shared" si="7"/>
        <v>289.08999999999997</v>
      </c>
      <c r="N59" s="11">
        <v>3.0174166666666666</v>
      </c>
      <c r="O59" s="15">
        <v>2.4090833333333332</v>
      </c>
      <c r="P59" s="10">
        <v>1.5508333333333333</v>
      </c>
      <c r="Q59" s="15">
        <v>1.2825</v>
      </c>
      <c r="S59" s="10">
        <v>225</v>
      </c>
      <c r="T59" s="9">
        <v>185.7</v>
      </c>
      <c r="U59" s="47">
        <v>20174.84868863484</v>
      </c>
      <c r="V59" s="48">
        <v>24483.799885742268</v>
      </c>
      <c r="W59" s="10">
        <v>93.05</v>
      </c>
      <c r="X59" s="9">
        <v>76.95</v>
      </c>
      <c r="Y59" s="47">
        <v>64481.461579795803</v>
      </c>
      <c r="Z59" s="60">
        <v>77972.709551656924</v>
      </c>
    </row>
    <row r="60" spans="1:26" x14ac:dyDescent="0.2">
      <c r="A60">
        <f t="shared" si="3"/>
        <v>55</v>
      </c>
      <c r="B60" s="10">
        <v>5.2283333333333335</v>
      </c>
      <c r="C60" s="23">
        <f t="shared" si="4"/>
        <v>159.39874999999998</v>
      </c>
      <c r="D60" s="9">
        <v>4.3166666666666664</v>
      </c>
      <c r="E60" s="26">
        <f t="shared" si="5"/>
        <v>131.57375000000002</v>
      </c>
      <c r="F60" s="11">
        <v>4.5542499999999997</v>
      </c>
      <c r="G60" s="23">
        <f t="shared" si="2"/>
        <v>237.35</v>
      </c>
      <c r="H60" s="9">
        <v>3.7592500000000002</v>
      </c>
      <c r="I60" s="26">
        <f t="shared" si="2"/>
        <v>196.35</v>
      </c>
      <c r="J60" s="11">
        <v>3.9558333333333331</v>
      </c>
      <c r="K60" s="23">
        <f t="shared" si="6"/>
        <v>383.79</v>
      </c>
      <c r="L60" s="9">
        <v>3.2725</v>
      </c>
      <c r="M60" s="26">
        <f t="shared" si="7"/>
        <v>306.69</v>
      </c>
      <c r="N60" s="11">
        <v>3.1982500000000003</v>
      </c>
      <c r="O60" s="15">
        <v>2.5557500000000002</v>
      </c>
      <c r="P60" s="10">
        <v>1.7041666666666666</v>
      </c>
      <c r="Q60" s="15">
        <v>1.4058333333333335</v>
      </c>
      <c r="S60" s="10">
        <v>237.35</v>
      </c>
      <c r="T60" s="9">
        <v>196.35</v>
      </c>
      <c r="U60" s="47">
        <v>19126.554032515141</v>
      </c>
      <c r="V60" s="48">
        <v>23166.023166023166</v>
      </c>
      <c r="W60" s="10">
        <v>102.25</v>
      </c>
      <c r="X60" s="9">
        <v>84.350000000000009</v>
      </c>
      <c r="Y60" s="47">
        <v>58679.706601466998</v>
      </c>
      <c r="Z60" s="60">
        <v>71132.187314759911</v>
      </c>
    </row>
    <row r="61" spans="1:26" x14ac:dyDescent="0.2">
      <c r="A61">
        <f t="shared" si="3"/>
        <v>56</v>
      </c>
      <c r="B61" s="10">
        <v>5.5110000000000001</v>
      </c>
      <c r="C61" s="23">
        <f t="shared" si="4"/>
        <v>167.97375</v>
      </c>
      <c r="D61" s="9">
        <v>4.556</v>
      </c>
      <c r="E61" s="26">
        <f t="shared" si="5"/>
        <v>138.74875</v>
      </c>
      <c r="F61" s="11">
        <v>4.7992499999999998</v>
      </c>
      <c r="G61" s="23">
        <f t="shared" si="2"/>
        <v>250.05</v>
      </c>
      <c r="H61" s="9">
        <v>3.9642499999999998</v>
      </c>
      <c r="I61" s="26">
        <f t="shared" si="2"/>
        <v>207.15</v>
      </c>
      <c r="J61" s="11">
        <v>4.1675000000000004</v>
      </c>
      <c r="K61" s="23">
        <f t="shared" si="6"/>
        <v>407.99</v>
      </c>
      <c r="L61" s="9">
        <v>3.4525000000000001</v>
      </c>
      <c r="M61" s="26">
        <f t="shared" si="7"/>
        <v>324.58999999999997</v>
      </c>
      <c r="N61" s="11">
        <v>3.3999166666666669</v>
      </c>
      <c r="O61" s="15">
        <v>2.7049166666666666</v>
      </c>
      <c r="P61" s="10">
        <v>1.8775000000000002</v>
      </c>
      <c r="Q61" s="15">
        <v>1.5491666666666666</v>
      </c>
      <c r="S61" s="10">
        <v>250.05</v>
      </c>
      <c r="T61" s="9">
        <v>207.15</v>
      </c>
      <c r="U61" s="47">
        <v>18145.527127563055</v>
      </c>
      <c r="V61" s="48">
        <v>21949.078138718174</v>
      </c>
      <c r="W61" s="10">
        <v>112.65</v>
      </c>
      <c r="X61" s="9">
        <v>92.949999999999989</v>
      </c>
      <c r="Y61" s="47">
        <v>53262.316910785616</v>
      </c>
      <c r="Z61" s="60">
        <v>64550.833781603018</v>
      </c>
    </row>
    <row r="62" spans="1:26" x14ac:dyDescent="0.2">
      <c r="A62">
        <f t="shared" si="3"/>
        <v>57</v>
      </c>
      <c r="B62" s="10">
        <v>5.8066666666666666</v>
      </c>
      <c r="C62" s="23">
        <f t="shared" si="4"/>
        <v>177.04750000000001</v>
      </c>
      <c r="D62" s="9">
        <v>4.8016666666666667</v>
      </c>
      <c r="E62" s="26">
        <f t="shared" si="5"/>
        <v>146.09875</v>
      </c>
      <c r="F62" s="11">
        <v>5.0585000000000004</v>
      </c>
      <c r="G62" s="23">
        <f t="shared" si="2"/>
        <v>263.60000000000002</v>
      </c>
      <c r="H62" s="9">
        <v>4.1742499999999998</v>
      </c>
      <c r="I62" s="26">
        <f t="shared" si="2"/>
        <v>218.2</v>
      </c>
      <c r="J62" s="11">
        <v>4.3933333333333335</v>
      </c>
      <c r="K62" s="23">
        <f t="shared" si="6"/>
        <v>434.29</v>
      </c>
      <c r="L62" s="9">
        <v>3.6366666666666663</v>
      </c>
      <c r="M62" s="26">
        <f t="shared" si="7"/>
        <v>343.19</v>
      </c>
      <c r="N62" s="11">
        <v>3.6190833333333337</v>
      </c>
      <c r="O62" s="15">
        <v>2.8599166666666664</v>
      </c>
      <c r="P62" s="10">
        <v>2.0699999999999998</v>
      </c>
      <c r="Q62" s="15">
        <v>1.7091666666666667</v>
      </c>
      <c r="S62" s="10">
        <v>263.60000000000002</v>
      </c>
      <c r="T62" s="9">
        <v>218.2</v>
      </c>
      <c r="U62" s="47">
        <v>17221.58438576349</v>
      </c>
      <c r="V62" s="48">
        <v>20826.102047900033</v>
      </c>
      <c r="W62" s="10">
        <v>124.19999999999999</v>
      </c>
      <c r="X62" s="9">
        <v>102.55</v>
      </c>
      <c r="Y62" s="47">
        <v>48309.178743961354</v>
      </c>
      <c r="Z62" s="60">
        <v>58508.044856167719</v>
      </c>
    </row>
    <row r="63" spans="1:26" x14ac:dyDescent="0.2">
      <c r="A63">
        <f t="shared" si="3"/>
        <v>58</v>
      </c>
      <c r="B63" s="10">
        <v>6.1233333333333331</v>
      </c>
      <c r="C63" s="23">
        <f t="shared" si="4"/>
        <v>186.69874999999999</v>
      </c>
      <c r="D63" s="9">
        <v>5.0533333333333328</v>
      </c>
      <c r="E63" s="26">
        <f t="shared" si="5"/>
        <v>153.77250000000001</v>
      </c>
      <c r="F63" s="11">
        <v>5.3342499999999999</v>
      </c>
      <c r="G63" s="23">
        <f t="shared" si="2"/>
        <v>277.89999999999998</v>
      </c>
      <c r="H63" s="9">
        <v>4.3935000000000004</v>
      </c>
      <c r="I63" s="26">
        <f t="shared" si="2"/>
        <v>229.55</v>
      </c>
      <c r="J63" s="11">
        <v>4.6316666666666659</v>
      </c>
      <c r="K63" s="23">
        <f t="shared" si="6"/>
        <v>462.79</v>
      </c>
      <c r="L63" s="9">
        <v>3.8258333333333336</v>
      </c>
      <c r="M63" s="26">
        <f t="shared" si="7"/>
        <v>363.29</v>
      </c>
      <c r="N63" s="11">
        <v>3.8565833333333335</v>
      </c>
      <c r="O63" s="15">
        <v>3.0274166666666669</v>
      </c>
      <c r="P63" s="10">
        <v>2.2799999999999998</v>
      </c>
      <c r="Q63" s="15">
        <v>1.8841666666666665</v>
      </c>
      <c r="S63" s="10">
        <v>277.89999999999998</v>
      </c>
      <c r="T63" s="9">
        <v>229.55</v>
      </c>
      <c r="U63" s="47">
        <v>16330.974414806749</v>
      </c>
      <c r="V63" s="48">
        <v>19788.918205804752</v>
      </c>
      <c r="W63" s="10">
        <v>136.79999999999998</v>
      </c>
      <c r="X63" s="9">
        <v>113.05</v>
      </c>
      <c r="Y63" s="47">
        <v>43859.649122807023</v>
      </c>
      <c r="Z63" s="60">
        <v>53073.861123396731</v>
      </c>
    </row>
    <row r="64" spans="1:26" x14ac:dyDescent="0.2">
      <c r="A64">
        <f t="shared" si="3"/>
        <v>59</v>
      </c>
      <c r="B64" s="10">
        <v>6.4593333333333334</v>
      </c>
      <c r="C64" s="23">
        <f t="shared" si="4"/>
        <v>196.93624999999997</v>
      </c>
      <c r="D64" s="9">
        <v>5.309333333333333</v>
      </c>
      <c r="E64" s="26">
        <f t="shared" si="5"/>
        <v>161.78750000000002</v>
      </c>
      <c r="F64" s="11">
        <v>5.6267499999999995</v>
      </c>
      <c r="G64" s="23">
        <f t="shared" si="2"/>
        <v>293.14999999999998</v>
      </c>
      <c r="H64" s="9">
        <v>4.6225000000000005</v>
      </c>
      <c r="I64" s="26">
        <f t="shared" si="2"/>
        <v>241.15000000000003</v>
      </c>
      <c r="J64" s="11">
        <v>4.8858333333333333</v>
      </c>
      <c r="K64" s="23">
        <f t="shared" si="6"/>
        <v>493.29</v>
      </c>
      <c r="L64" s="9">
        <v>4.019166666666667</v>
      </c>
      <c r="M64" s="26">
        <f t="shared" si="7"/>
        <v>385.19</v>
      </c>
      <c r="N64" s="11">
        <v>4.1107500000000003</v>
      </c>
      <c r="O64" s="15">
        <v>3.2099166666666665</v>
      </c>
      <c r="P64" s="10">
        <v>2.5049999999999999</v>
      </c>
      <c r="Q64" s="15">
        <v>2.0741666666666667</v>
      </c>
      <c r="S64" s="10">
        <v>293.14999999999998</v>
      </c>
      <c r="T64" s="9">
        <v>241.15000000000003</v>
      </c>
      <c r="U64" s="47">
        <v>15481.473836309216</v>
      </c>
      <c r="V64" s="48">
        <v>18834.756403817177</v>
      </c>
      <c r="W64" s="10">
        <v>150.29999999999998</v>
      </c>
      <c r="X64" s="9">
        <v>124.45</v>
      </c>
      <c r="Y64" s="47">
        <v>39920.159680638724</v>
      </c>
      <c r="Z64" s="60">
        <v>48212.133386902366</v>
      </c>
    </row>
    <row r="65" spans="1:26" x14ac:dyDescent="0.2">
      <c r="A65">
        <f t="shared" si="3"/>
        <v>60</v>
      </c>
      <c r="B65" s="10">
        <v>6.968</v>
      </c>
      <c r="C65" s="23">
        <f t="shared" si="4"/>
        <v>207.8125</v>
      </c>
      <c r="D65" s="9">
        <v>5.6959999999999997</v>
      </c>
      <c r="E65" s="26">
        <f t="shared" si="5"/>
        <v>169.92499999999998</v>
      </c>
      <c r="F65" s="11">
        <v>5.9375</v>
      </c>
      <c r="G65" s="23">
        <f t="shared" si="2"/>
        <v>309.39999999999998</v>
      </c>
      <c r="H65" s="9">
        <v>4.8549999999999995</v>
      </c>
      <c r="I65" s="26">
        <f t="shared" si="2"/>
        <v>252.89999999999998</v>
      </c>
      <c r="J65" s="11">
        <v>5.1566666666666663</v>
      </c>
      <c r="K65" s="23">
        <f t="shared" si="6"/>
        <v>525.59</v>
      </c>
      <c r="L65" s="9">
        <v>4.2149999999999999</v>
      </c>
      <c r="M65" s="26">
        <f t="shared" si="7"/>
        <v>409.49</v>
      </c>
      <c r="N65" s="11">
        <v>4.3799166666666673</v>
      </c>
      <c r="O65" s="15">
        <v>3.4124166666666667</v>
      </c>
      <c r="P65" s="10">
        <v>2.749166666666667</v>
      </c>
      <c r="Q65" s="15">
        <v>2.2799999999999998</v>
      </c>
      <c r="S65" s="10">
        <v>309.39999999999998</v>
      </c>
      <c r="T65" s="9">
        <v>252.89999999999998</v>
      </c>
      <c r="U65" s="47">
        <v>14351.320321469575</v>
      </c>
      <c r="V65" s="48">
        <v>17556.1797752809</v>
      </c>
      <c r="W65" s="10">
        <v>164.95000000000002</v>
      </c>
      <c r="X65" s="9">
        <v>136.79999999999998</v>
      </c>
      <c r="Y65" s="47">
        <v>36374.658987571987</v>
      </c>
      <c r="Z65" s="60">
        <v>43859.649122807023</v>
      </c>
    </row>
    <row r="66" spans="1:26" x14ac:dyDescent="0.2">
      <c r="A66">
        <f t="shared" si="3"/>
        <v>61</v>
      </c>
      <c r="B66" s="10">
        <v>7.3566666666666665</v>
      </c>
      <c r="C66" s="23">
        <f t="shared" si="4"/>
        <v>219.42375000000001</v>
      </c>
      <c r="D66" s="9">
        <v>5.9753333333333334</v>
      </c>
      <c r="E66" s="26">
        <f t="shared" si="5"/>
        <v>178.23749999999998</v>
      </c>
      <c r="F66" s="11">
        <v>6.2692500000000004</v>
      </c>
      <c r="G66" s="23">
        <f t="shared" si="2"/>
        <v>326.60000000000002</v>
      </c>
      <c r="H66" s="9">
        <v>5.0924999999999994</v>
      </c>
      <c r="I66" s="26">
        <f t="shared" si="2"/>
        <v>265.35000000000002</v>
      </c>
      <c r="J66" s="11">
        <v>5.4433333333333334</v>
      </c>
      <c r="K66" s="23">
        <f t="shared" si="6"/>
        <v>559.89</v>
      </c>
      <c r="L66" s="9">
        <v>4.4225000000000003</v>
      </c>
      <c r="M66" s="26">
        <f t="shared" si="7"/>
        <v>436.29</v>
      </c>
      <c r="N66" s="11">
        <v>4.6657500000000001</v>
      </c>
      <c r="O66" s="15">
        <v>3.6357500000000003</v>
      </c>
      <c r="P66" s="10">
        <v>3.01</v>
      </c>
      <c r="Q66" s="15">
        <v>2.5041666666666669</v>
      </c>
      <c r="S66" s="10">
        <v>326.60000000000002</v>
      </c>
      <c r="T66" s="9">
        <v>265.35000000000002</v>
      </c>
      <c r="U66" s="47">
        <v>13593.11282283643</v>
      </c>
      <c r="V66" s="48">
        <v>16735.46803525605</v>
      </c>
      <c r="W66" s="10">
        <v>180.6</v>
      </c>
      <c r="X66" s="9">
        <v>150.25</v>
      </c>
      <c r="Y66" s="47">
        <v>33222.591362126244</v>
      </c>
      <c r="Z66" s="60">
        <v>39933.44425956739</v>
      </c>
    </row>
    <row r="67" spans="1:26" x14ac:dyDescent="0.2">
      <c r="A67">
        <f t="shared" si="3"/>
        <v>62</v>
      </c>
      <c r="B67" s="10">
        <v>7.77</v>
      </c>
      <c r="C67" s="23">
        <f t="shared" si="4"/>
        <v>231.78749999999999</v>
      </c>
      <c r="D67" s="9">
        <v>6.2720000000000002</v>
      </c>
      <c r="E67" s="26">
        <f t="shared" si="5"/>
        <v>187.04875000000001</v>
      </c>
      <c r="F67" s="11">
        <v>6.6224999999999996</v>
      </c>
      <c r="G67" s="23">
        <f t="shared" si="2"/>
        <v>345.05</v>
      </c>
      <c r="H67" s="9">
        <v>5.3442500000000006</v>
      </c>
      <c r="I67" s="26">
        <f t="shared" si="2"/>
        <v>278.5</v>
      </c>
      <c r="J67" s="11">
        <v>5.7508333333333335</v>
      </c>
      <c r="K67" s="23">
        <f t="shared" si="6"/>
        <v>596.09</v>
      </c>
      <c r="L67" s="9">
        <v>4.6416666666666666</v>
      </c>
      <c r="M67" s="26">
        <f t="shared" si="7"/>
        <v>465.59</v>
      </c>
      <c r="N67" s="11">
        <v>4.9674166666666668</v>
      </c>
      <c r="O67" s="15">
        <v>3.8799166666666665</v>
      </c>
      <c r="P67" s="10">
        <v>3.2883333333333336</v>
      </c>
      <c r="Q67" s="15">
        <v>2.7458333333333336</v>
      </c>
      <c r="S67" s="10">
        <v>345.05</v>
      </c>
      <c r="T67" s="9">
        <v>278.5</v>
      </c>
      <c r="U67" s="47">
        <v>12870.012870012872</v>
      </c>
      <c r="V67" s="48">
        <v>15943.877551020407</v>
      </c>
      <c r="W67" s="10">
        <v>197.3</v>
      </c>
      <c r="X67" s="9">
        <v>164.75</v>
      </c>
      <c r="Y67" s="47">
        <v>30410.542321338064</v>
      </c>
      <c r="Z67" s="60">
        <v>36418.81638846737</v>
      </c>
    </row>
    <row r="68" spans="1:26" x14ac:dyDescent="0.2">
      <c r="A68">
        <f t="shared" si="3"/>
        <v>63</v>
      </c>
      <c r="B68" s="10">
        <v>8.2086666666666659</v>
      </c>
      <c r="C68" s="23">
        <f t="shared" si="4"/>
        <v>244.88625000000002</v>
      </c>
      <c r="D68" s="9">
        <v>6.5979999999999999</v>
      </c>
      <c r="E68" s="26">
        <f t="shared" si="5"/>
        <v>196.78750000000002</v>
      </c>
      <c r="F68" s="11">
        <v>6.9967500000000005</v>
      </c>
      <c r="G68" s="23">
        <f t="shared" si="2"/>
        <v>364.5</v>
      </c>
      <c r="H68" s="9">
        <v>5.6225000000000005</v>
      </c>
      <c r="I68" s="26">
        <f t="shared" si="2"/>
        <v>293</v>
      </c>
      <c r="J68" s="11">
        <v>6.0750000000000002</v>
      </c>
      <c r="K68" s="23">
        <f t="shared" si="6"/>
        <v>634.49</v>
      </c>
      <c r="L68" s="9">
        <v>4.8833333333333337</v>
      </c>
      <c r="M68" s="26">
        <f t="shared" si="7"/>
        <v>497.49000000000007</v>
      </c>
      <c r="N68" s="11">
        <v>5.2874166666666671</v>
      </c>
      <c r="O68" s="15">
        <v>4.1457500000000005</v>
      </c>
      <c r="P68" s="10">
        <v>3.5866666666666664</v>
      </c>
      <c r="Q68" s="15">
        <v>3.0091666666666668</v>
      </c>
      <c r="S68" s="10">
        <v>364.5</v>
      </c>
      <c r="T68" s="9">
        <v>293</v>
      </c>
      <c r="U68" s="47">
        <v>12182.246406237311</v>
      </c>
      <c r="V68" s="48">
        <v>15156.107911488331</v>
      </c>
      <c r="W68" s="10">
        <v>215.2</v>
      </c>
      <c r="X68" s="9">
        <v>180.55</v>
      </c>
      <c r="Y68" s="47">
        <v>27881.040892193312</v>
      </c>
      <c r="Z68" s="60">
        <v>33231.791747438379</v>
      </c>
    </row>
    <row r="69" spans="1:26" ht="17" thickBot="1" x14ac:dyDescent="0.25">
      <c r="A69">
        <f t="shared" si="3"/>
        <v>64</v>
      </c>
      <c r="B69" s="10">
        <v>8.6733333333333338</v>
      </c>
      <c r="C69" s="23">
        <f t="shared" si="4"/>
        <v>258.71125000000001</v>
      </c>
      <c r="D69" s="9">
        <v>6.9633333333333338</v>
      </c>
      <c r="E69" s="26">
        <f t="shared" si="5"/>
        <v>207.72500000000002</v>
      </c>
      <c r="F69" s="11">
        <v>7.39175</v>
      </c>
      <c r="G69" s="23">
        <f t="shared" si="2"/>
        <v>385.1</v>
      </c>
      <c r="H69" s="9">
        <v>5.9350000000000005</v>
      </c>
      <c r="I69" s="26">
        <f t="shared" si="2"/>
        <v>309.14999999999998</v>
      </c>
      <c r="J69" s="11">
        <v>6.4183333333333339</v>
      </c>
      <c r="K69" s="23">
        <f t="shared" si="6"/>
        <v>674.89</v>
      </c>
      <c r="L69" s="9">
        <v>5.1524999999999999</v>
      </c>
      <c r="M69" s="26">
        <f t="shared" si="7"/>
        <v>532.19000000000005</v>
      </c>
      <c r="N69" s="11">
        <v>5.6240833333333331</v>
      </c>
      <c r="O69" s="15">
        <v>4.4349166666666671</v>
      </c>
      <c r="P69" s="10">
        <v>3.895</v>
      </c>
      <c r="Q69" s="15">
        <v>3.2841666666666662</v>
      </c>
      <c r="S69" s="10">
        <v>385.1</v>
      </c>
      <c r="T69" s="9">
        <v>309.14999999999998</v>
      </c>
      <c r="U69" s="47">
        <v>11529.592621060721</v>
      </c>
      <c r="V69" s="48">
        <v>14360.938247965534</v>
      </c>
      <c r="W69" s="10">
        <v>233.7</v>
      </c>
      <c r="X69" s="9">
        <v>197.04999999999998</v>
      </c>
      <c r="Y69" s="47">
        <v>25673.940949935815</v>
      </c>
      <c r="Z69" s="60">
        <v>30449.12458766811</v>
      </c>
    </row>
    <row r="70" spans="1:26" x14ac:dyDescent="0.2">
      <c r="A70">
        <f t="shared" si="3"/>
        <v>65</v>
      </c>
      <c r="B70" s="10">
        <v>9.1853333333333342</v>
      </c>
      <c r="C70" s="23">
        <f t="shared" si="4"/>
        <v>274.02375000000001</v>
      </c>
      <c r="D70" s="9">
        <v>7.3780000000000001</v>
      </c>
      <c r="E70" s="26">
        <f t="shared" si="5"/>
        <v>220.0625</v>
      </c>
      <c r="F70" s="11">
        <v>7.82925</v>
      </c>
      <c r="G70" s="23">
        <f t="shared" ref="E70:I85" si="8">J70*60</f>
        <v>407.8</v>
      </c>
      <c r="H70" s="9">
        <v>6.2874999999999996</v>
      </c>
      <c r="I70" s="26">
        <f t="shared" si="8"/>
        <v>327.55</v>
      </c>
      <c r="J70" s="11">
        <v>6.7966666666666669</v>
      </c>
      <c r="K70" s="23">
        <f t="shared" si="6"/>
        <v>717.39</v>
      </c>
      <c r="L70" s="9">
        <v>5.4591666666666665</v>
      </c>
      <c r="M70" s="26">
        <f t="shared" si="7"/>
        <v>569.59</v>
      </c>
      <c r="N70" s="11">
        <v>5.9782500000000001</v>
      </c>
      <c r="O70" s="15">
        <v>4.7465833333333336</v>
      </c>
      <c r="P70" s="14"/>
      <c r="Q70" s="13"/>
      <c r="S70" s="37">
        <v>407.8</v>
      </c>
      <c r="T70" s="38">
        <v>327.55</v>
      </c>
      <c r="U70" s="46">
        <v>10886.921178690665</v>
      </c>
      <c r="V70" s="51">
        <v>13553.808620222282</v>
      </c>
      <c r="W70" s="1"/>
      <c r="X70" s="2"/>
      <c r="Y70" s="54"/>
      <c r="Z70" s="55"/>
    </row>
    <row r="71" spans="1:26" x14ac:dyDescent="0.2">
      <c r="A71">
        <f t="shared" ref="A71:A85" si="9">A70+1</f>
        <v>66</v>
      </c>
      <c r="B71" s="10">
        <v>9.7446666666666655</v>
      </c>
      <c r="C71" s="23">
        <f t="shared" si="4"/>
        <v>290.73624999999998</v>
      </c>
      <c r="D71" s="9">
        <v>7.8746666666666671</v>
      </c>
      <c r="E71" s="26">
        <f t="shared" si="5"/>
        <v>234.91125000000002</v>
      </c>
      <c r="F71" s="11">
        <v>8.3067499999999992</v>
      </c>
      <c r="G71" s="23">
        <f t="shared" si="8"/>
        <v>432.6</v>
      </c>
      <c r="H71" s="9">
        <v>6.7117500000000003</v>
      </c>
      <c r="I71" s="26">
        <f t="shared" si="8"/>
        <v>349.7</v>
      </c>
      <c r="J71" s="11">
        <v>7.21</v>
      </c>
      <c r="K71" s="23">
        <f t="shared" si="6"/>
        <v>761.29</v>
      </c>
      <c r="L71" s="9">
        <v>5.8283333333333331</v>
      </c>
      <c r="M71" s="26">
        <f t="shared" si="7"/>
        <v>609.79</v>
      </c>
      <c r="N71" s="11">
        <v>6.3440833333333329</v>
      </c>
      <c r="O71" s="15">
        <v>5.0815833333333327</v>
      </c>
      <c r="P71" s="14"/>
      <c r="Q71" s="13"/>
      <c r="S71" s="10">
        <v>432.6</v>
      </c>
      <c r="T71" s="9">
        <v>349.7</v>
      </c>
      <c r="U71" s="47">
        <v>10262.023671067936</v>
      </c>
      <c r="V71" s="48">
        <v>12698.950220115137</v>
      </c>
      <c r="W71" s="4"/>
      <c r="X71" s="8"/>
      <c r="Y71" s="56"/>
      <c r="Z71" s="57"/>
    </row>
    <row r="72" spans="1:26" x14ac:dyDescent="0.2">
      <c r="A72">
        <f t="shared" si="9"/>
        <v>67</v>
      </c>
      <c r="B72" s="10">
        <v>10.343333333333334</v>
      </c>
      <c r="C72" s="23">
        <f t="shared" si="4"/>
        <v>308.58625000000001</v>
      </c>
      <c r="D72" s="9">
        <v>8.4266666666666676</v>
      </c>
      <c r="E72" s="26">
        <f t="shared" si="5"/>
        <v>251.38750000000002</v>
      </c>
      <c r="F72" s="11">
        <v>8.8167500000000008</v>
      </c>
      <c r="G72" s="23">
        <f t="shared" si="8"/>
        <v>459.3</v>
      </c>
      <c r="H72" s="9">
        <v>7.1825000000000001</v>
      </c>
      <c r="I72" s="26">
        <f t="shared" si="8"/>
        <v>374.15</v>
      </c>
      <c r="J72" s="11">
        <v>7.6550000000000002</v>
      </c>
      <c r="K72" s="23">
        <f t="shared" si="6"/>
        <v>807.49</v>
      </c>
      <c r="L72" s="9">
        <v>6.2358333333333329</v>
      </c>
      <c r="M72" s="26">
        <f t="shared" si="7"/>
        <v>653.09</v>
      </c>
      <c r="N72" s="11">
        <v>6.7290833333333335</v>
      </c>
      <c r="O72" s="15">
        <v>5.4424166666666673</v>
      </c>
      <c r="P72" s="14"/>
      <c r="Q72" s="13"/>
      <c r="S72" s="10">
        <v>459.3</v>
      </c>
      <c r="T72" s="9">
        <v>374.15</v>
      </c>
      <c r="U72" s="47">
        <v>9668.0631646793427</v>
      </c>
      <c r="V72" s="48">
        <v>11867.088607594935</v>
      </c>
      <c r="W72" s="4"/>
      <c r="X72" s="8"/>
      <c r="Y72" s="56"/>
      <c r="Z72" s="57"/>
    </row>
    <row r="73" spans="1:26" x14ac:dyDescent="0.2">
      <c r="A73">
        <f t="shared" si="9"/>
        <v>68</v>
      </c>
      <c r="B73" s="10">
        <v>10.984666666666667</v>
      </c>
      <c r="C73" s="23">
        <f t="shared" si="4"/>
        <v>327.72250000000003</v>
      </c>
      <c r="D73" s="9">
        <v>9.0333333333333332</v>
      </c>
      <c r="E73" s="26">
        <f t="shared" si="5"/>
        <v>269.47375000000005</v>
      </c>
      <c r="F73" s="11">
        <v>9.3635000000000002</v>
      </c>
      <c r="G73" s="23">
        <f t="shared" si="8"/>
        <v>487.65</v>
      </c>
      <c r="H73" s="9">
        <v>7.699250000000001</v>
      </c>
      <c r="I73" s="26">
        <f t="shared" si="8"/>
        <v>401.2</v>
      </c>
      <c r="J73" s="11">
        <v>8.1274999999999995</v>
      </c>
      <c r="K73" s="23">
        <f t="shared" si="6"/>
        <v>856.39</v>
      </c>
      <c r="L73" s="9">
        <v>6.6866666666666665</v>
      </c>
      <c r="M73" s="26">
        <f t="shared" si="7"/>
        <v>699.49</v>
      </c>
      <c r="N73" s="11">
        <v>7.1365833333333333</v>
      </c>
      <c r="O73" s="15">
        <v>5.8290833333333332</v>
      </c>
      <c r="P73" s="14"/>
      <c r="Q73" s="13"/>
      <c r="S73" s="10">
        <v>487.65</v>
      </c>
      <c r="T73" s="9">
        <v>401.2</v>
      </c>
      <c r="U73" s="47">
        <v>9103.5989561206534</v>
      </c>
      <c r="V73" s="48">
        <v>11070.110701107011</v>
      </c>
      <c r="W73" s="4"/>
      <c r="X73" s="8"/>
      <c r="Y73" s="56"/>
      <c r="Z73" s="57"/>
    </row>
    <row r="74" spans="1:26" x14ac:dyDescent="0.2">
      <c r="A74">
        <f t="shared" si="9"/>
        <v>69</v>
      </c>
      <c r="B74" s="10">
        <v>11.674666666666667</v>
      </c>
      <c r="C74" s="23">
        <f t="shared" si="4"/>
        <v>348.22375000000005</v>
      </c>
      <c r="D74" s="9">
        <v>9.695333333333334</v>
      </c>
      <c r="E74" s="26">
        <f t="shared" si="5"/>
        <v>289.22250000000003</v>
      </c>
      <c r="F74" s="11">
        <v>9.949250000000001</v>
      </c>
      <c r="G74" s="23">
        <f t="shared" si="8"/>
        <v>518.35</v>
      </c>
      <c r="H74" s="9">
        <v>8.2635000000000005</v>
      </c>
      <c r="I74" s="26">
        <f t="shared" si="8"/>
        <v>430.6</v>
      </c>
      <c r="J74" s="11">
        <v>8.6391666666666662</v>
      </c>
      <c r="K74" s="23">
        <f t="shared" si="6"/>
        <v>908.29</v>
      </c>
      <c r="L74" s="9">
        <v>7.1766666666666667</v>
      </c>
      <c r="M74" s="26">
        <f t="shared" si="7"/>
        <v>749.19</v>
      </c>
      <c r="N74" s="11">
        <v>7.5690833333333334</v>
      </c>
      <c r="O74" s="15">
        <v>6.2432500000000006</v>
      </c>
      <c r="P74" s="14"/>
      <c r="Q74" s="13"/>
      <c r="S74" s="10">
        <v>518.35</v>
      </c>
      <c r="T74" s="9">
        <v>430.6</v>
      </c>
      <c r="U74" s="47">
        <v>8565.5550479671074</v>
      </c>
      <c r="V74" s="48">
        <v>10314.240528089114</v>
      </c>
      <c r="W74" s="4"/>
      <c r="X74" s="8"/>
      <c r="Y74" s="56"/>
      <c r="Z74" s="57"/>
    </row>
    <row r="75" spans="1:26" x14ac:dyDescent="0.2">
      <c r="A75">
        <f t="shared" si="9"/>
        <v>70</v>
      </c>
      <c r="B75" s="10">
        <v>12.415333333333333</v>
      </c>
      <c r="C75" s="23">
        <f t="shared" si="4"/>
        <v>370.42249999999996</v>
      </c>
      <c r="D75" s="9">
        <v>10.412000000000001</v>
      </c>
      <c r="E75" s="26">
        <f t="shared" si="5"/>
        <v>310.625</v>
      </c>
      <c r="F75" s="11">
        <v>10.583499999999999</v>
      </c>
      <c r="G75" s="23">
        <f t="shared" si="8"/>
        <v>551.25</v>
      </c>
      <c r="H75" s="9">
        <v>8.875</v>
      </c>
      <c r="I75" s="26">
        <f t="shared" si="8"/>
        <v>462.3</v>
      </c>
      <c r="J75" s="11">
        <v>9.1875</v>
      </c>
      <c r="K75" s="23">
        <f t="shared" si="6"/>
        <v>963.18999999999994</v>
      </c>
      <c r="L75" s="9">
        <v>7.7050000000000001</v>
      </c>
      <c r="M75" s="26">
        <f t="shared" si="7"/>
        <v>802.19</v>
      </c>
      <c r="N75" s="11">
        <v>8.026583333333333</v>
      </c>
      <c r="O75" s="15">
        <v>6.6849166666666671</v>
      </c>
      <c r="P75" s="14"/>
      <c r="Q75" s="13"/>
      <c r="S75" s="10">
        <v>551.25</v>
      </c>
      <c r="T75" s="9">
        <v>462.3</v>
      </c>
      <c r="U75" s="47">
        <v>8054.5561939537138</v>
      </c>
      <c r="V75" s="48">
        <v>9604.3027276219746</v>
      </c>
      <c r="W75" s="4"/>
      <c r="X75" s="8"/>
      <c r="Y75" s="56"/>
      <c r="Z75" s="57"/>
    </row>
    <row r="76" spans="1:26" x14ac:dyDescent="0.2">
      <c r="A76">
        <f t="shared" si="9"/>
        <v>71</v>
      </c>
      <c r="B76" s="10">
        <v>13.332666666666666</v>
      </c>
      <c r="C76" s="23">
        <f t="shared" si="4"/>
        <v>394.16125000000005</v>
      </c>
      <c r="D76" s="9">
        <v>11.174666666666667</v>
      </c>
      <c r="E76" s="26">
        <f t="shared" si="5"/>
        <v>333.34875</v>
      </c>
      <c r="F76" s="11">
        <v>11.261750000000001</v>
      </c>
      <c r="G76" s="23">
        <f t="shared" si="8"/>
        <v>586.65</v>
      </c>
      <c r="H76" s="9">
        <v>9.5242500000000003</v>
      </c>
      <c r="I76" s="26">
        <f t="shared" si="8"/>
        <v>496.2</v>
      </c>
      <c r="J76" s="11">
        <v>9.7774999999999999</v>
      </c>
      <c r="K76" s="23">
        <f t="shared" si="6"/>
        <v>1021.49</v>
      </c>
      <c r="L76" s="9">
        <v>8.27</v>
      </c>
      <c r="M76" s="26">
        <f t="shared" si="7"/>
        <v>857.39</v>
      </c>
      <c r="N76" s="11">
        <v>8.5124166666666667</v>
      </c>
      <c r="O76" s="15">
        <v>7.1449166666666661</v>
      </c>
      <c r="P76" s="14"/>
      <c r="Q76" s="13"/>
      <c r="S76" s="10">
        <v>586.65</v>
      </c>
      <c r="T76" s="9">
        <v>496.2</v>
      </c>
      <c r="U76" s="47">
        <v>7500.3750187509377</v>
      </c>
      <c r="V76" s="48">
        <v>8948.8127908364149</v>
      </c>
      <c r="W76" s="4"/>
      <c r="X76" s="8"/>
      <c r="Y76" s="56"/>
      <c r="Z76" s="57"/>
    </row>
    <row r="77" spans="1:26" x14ac:dyDescent="0.2">
      <c r="A77">
        <f t="shared" si="9"/>
        <v>72</v>
      </c>
      <c r="B77" s="10">
        <v>14.321333333333333</v>
      </c>
      <c r="C77" s="23">
        <f t="shared" si="4"/>
        <v>419.5625</v>
      </c>
      <c r="D77" s="9">
        <v>11.995333333333333</v>
      </c>
      <c r="E77" s="26">
        <f t="shared" si="5"/>
        <v>357.78750000000002</v>
      </c>
      <c r="F77" s="11">
        <v>11.987500000000001</v>
      </c>
      <c r="G77" s="23">
        <f t="shared" si="8"/>
        <v>624.6</v>
      </c>
      <c r="H77" s="9">
        <v>10.2225</v>
      </c>
      <c r="I77" s="26">
        <f t="shared" si="8"/>
        <v>532.65</v>
      </c>
      <c r="J77" s="11">
        <v>10.41</v>
      </c>
      <c r="K77" s="23">
        <f t="shared" si="6"/>
        <v>1083.3900000000001</v>
      </c>
      <c r="L77" s="9">
        <v>8.8774999999999995</v>
      </c>
      <c r="M77" s="26">
        <f t="shared" si="7"/>
        <v>916.49</v>
      </c>
      <c r="N77" s="11">
        <v>9.0282500000000017</v>
      </c>
      <c r="O77" s="15">
        <v>7.6374166666666667</v>
      </c>
      <c r="P77" s="14"/>
      <c r="Q77" s="13"/>
      <c r="S77" s="10">
        <v>624.6</v>
      </c>
      <c r="T77" s="9">
        <v>532.65</v>
      </c>
      <c r="U77" s="47">
        <v>6982.590075411973</v>
      </c>
      <c r="V77" s="48">
        <v>8336.5753348524431</v>
      </c>
      <c r="W77" s="4"/>
      <c r="X77" s="8"/>
      <c r="Y77" s="56"/>
      <c r="Z77" s="57"/>
    </row>
    <row r="78" spans="1:26" x14ac:dyDescent="0.2">
      <c r="A78">
        <f t="shared" si="9"/>
        <v>73</v>
      </c>
      <c r="B78" s="10">
        <v>15.378666666666668</v>
      </c>
      <c r="C78" s="23">
        <f t="shared" si="4"/>
        <v>446.66125000000005</v>
      </c>
      <c r="D78" s="9">
        <v>12.876666666666667</v>
      </c>
      <c r="E78" s="26">
        <f t="shared" si="5"/>
        <v>384.125</v>
      </c>
      <c r="F78" s="11">
        <v>12.761750000000001</v>
      </c>
      <c r="G78" s="23">
        <f t="shared" si="8"/>
        <v>664.75</v>
      </c>
      <c r="H78" s="9">
        <v>10.975</v>
      </c>
      <c r="I78" s="26">
        <f t="shared" si="8"/>
        <v>571.79999999999995</v>
      </c>
      <c r="J78" s="11">
        <v>11.079166666666667</v>
      </c>
      <c r="K78" s="23">
        <f t="shared" si="6"/>
        <v>1149.3900000000001</v>
      </c>
      <c r="L78" s="9">
        <v>9.5299999999999994</v>
      </c>
      <c r="M78" s="26">
        <f t="shared" si="7"/>
        <v>979.99</v>
      </c>
      <c r="N78" s="11">
        <v>9.5782500000000006</v>
      </c>
      <c r="O78" s="15">
        <v>8.1665833333333335</v>
      </c>
      <c r="P78" s="14"/>
      <c r="Q78" s="13"/>
      <c r="S78" s="10">
        <v>664.75</v>
      </c>
      <c r="T78" s="9">
        <v>571.79999999999995</v>
      </c>
      <c r="U78" s="47">
        <v>6502.514305531472</v>
      </c>
      <c r="V78" s="48">
        <v>7765.9849857623612</v>
      </c>
      <c r="W78" s="4"/>
      <c r="X78" s="8"/>
      <c r="Y78" s="56"/>
      <c r="Z78" s="57"/>
    </row>
    <row r="79" spans="1:26" x14ac:dyDescent="0.2">
      <c r="A79">
        <f t="shared" si="9"/>
        <v>74</v>
      </c>
      <c r="B79" s="10">
        <v>16.512666666666668</v>
      </c>
      <c r="C79" s="23">
        <f t="shared" si="4"/>
        <v>475.33499999999998</v>
      </c>
      <c r="D79" s="9">
        <v>13.82</v>
      </c>
      <c r="E79" s="26">
        <f t="shared" si="5"/>
        <v>412.29999999999995</v>
      </c>
      <c r="F79" s="11">
        <v>13.581</v>
      </c>
      <c r="G79" s="23">
        <f t="shared" si="8"/>
        <v>707.5</v>
      </c>
      <c r="H79" s="9">
        <v>11.78</v>
      </c>
      <c r="I79" s="26">
        <f t="shared" si="8"/>
        <v>613.75</v>
      </c>
      <c r="J79" s="11">
        <v>11.791666666666666</v>
      </c>
      <c r="K79" s="23">
        <f t="shared" si="6"/>
        <v>1219.49</v>
      </c>
      <c r="L79" s="9">
        <v>10.229166666666666</v>
      </c>
      <c r="M79" s="26">
        <f t="shared" si="7"/>
        <v>1048.56</v>
      </c>
      <c r="N79" s="11">
        <v>10.162416666666667</v>
      </c>
      <c r="O79" s="15">
        <v>8.7379999999999995</v>
      </c>
      <c r="P79" s="14"/>
      <c r="Q79" s="13"/>
      <c r="S79" s="10">
        <v>707.5</v>
      </c>
      <c r="T79" s="9">
        <v>613.75</v>
      </c>
      <c r="U79" s="47">
        <v>6055.9570430780414</v>
      </c>
      <c r="V79" s="48">
        <v>7235.89001447178</v>
      </c>
      <c r="W79" s="4"/>
      <c r="X79" s="8"/>
      <c r="Y79" s="56"/>
      <c r="Z79" s="57"/>
    </row>
    <row r="80" spans="1:26" x14ac:dyDescent="0.2">
      <c r="A80">
        <f t="shared" si="9"/>
        <v>75</v>
      </c>
      <c r="B80" s="10">
        <v>17.716666666666665</v>
      </c>
      <c r="C80" s="23">
        <f t="shared" si="4"/>
        <v>505.52250000000004</v>
      </c>
      <c r="D80" s="9">
        <v>14.83</v>
      </c>
      <c r="E80" s="26">
        <f t="shared" si="5"/>
        <v>442.435</v>
      </c>
      <c r="F80" s="11">
        <v>14.4435</v>
      </c>
      <c r="G80" s="23">
        <f t="shared" si="8"/>
        <v>752.5</v>
      </c>
      <c r="H80" s="9">
        <v>12.641</v>
      </c>
      <c r="I80" s="26">
        <f t="shared" si="8"/>
        <v>658.55</v>
      </c>
      <c r="J80" s="11">
        <v>12.541666666666666</v>
      </c>
      <c r="K80" s="23">
        <f t="shared" si="6"/>
        <v>1294.29</v>
      </c>
      <c r="L80" s="9">
        <v>10.975833333333332</v>
      </c>
      <c r="M80" s="26">
        <f t="shared" si="7"/>
        <v>1122.3900000000001</v>
      </c>
      <c r="N80" s="11">
        <v>10.78575</v>
      </c>
      <c r="O80" s="15">
        <v>9.353250000000001</v>
      </c>
      <c r="P80" s="14"/>
      <c r="Q80" s="13"/>
      <c r="S80" s="10">
        <v>752.5</v>
      </c>
      <c r="T80" s="9">
        <v>658.55</v>
      </c>
      <c r="U80" s="47">
        <v>5644.4026340545634</v>
      </c>
      <c r="V80" s="48">
        <v>6743.0883344571812</v>
      </c>
      <c r="W80" s="4"/>
      <c r="X80" s="8"/>
      <c r="Y80" s="56"/>
      <c r="Z80" s="57"/>
    </row>
    <row r="81" spans="1:26" x14ac:dyDescent="0.2">
      <c r="A81">
        <f t="shared" si="9"/>
        <v>76</v>
      </c>
      <c r="B81" s="10">
        <v>18.994666666666667</v>
      </c>
      <c r="C81" s="23">
        <f t="shared" si="4"/>
        <v>537.33749999999998</v>
      </c>
      <c r="D81" s="9">
        <v>15.92</v>
      </c>
      <c r="E81" s="26">
        <f t="shared" si="5"/>
        <v>474.86250000000001</v>
      </c>
      <c r="F81" s="11">
        <v>15.352500000000001</v>
      </c>
      <c r="G81" s="23">
        <f t="shared" si="8"/>
        <v>799.8</v>
      </c>
      <c r="H81" s="9">
        <v>13.567500000000001</v>
      </c>
      <c r="I81" s="26">
        <f t="shared" si="8"/>
        <v>706.85</v>
      </c>
      <c r="J81" s="11">
        <v>13.33</v>
      </c>
      <c r="K81" s="23">
        <f t="shared" si="6"/>
        <v>1375.19</v>
      </c>
      <c r="L81" s="9">
        <v>11.780833333333334</v>
      </c>
      <c r="M81" s="26">
        <f t="shared" si="7"/>
        <v>1203.99</v>
      </c>
      <c r="N81" s="11">
        <v>11.459916666666667</v>
      </c>
      <c r="O81" s="15">
        <v>10.033250000000001</v>
      </c>
      <c r="P81" s="14"/>
      <c r="Q81" s="13"/>
      <c r="S81" s="10">
        <v>799.8</v>
      </c>
      <c r="T81" s="9">
        <v>706.85</v>
      </c>
      <c r="U81" s="47">
        <v>5264.6356872104452</v>
      </c>
      <c r="V81" s="48">
        <v>6281.4070351758801</v>
      </c>
      <c r="W81" s="4"/>
      <c r="X81" s="8"/>
      <c r="Y81" s="56"/>
      <c r="Z81" s="57"/>
    </row>
    <row r="82" spans="1:26" x14ac:dyDescent="0.2">
      <c r="A82">
        <f t="shared" si="9"/>
        <v>77</v>
      </c>
      <c r="B82" s="10">
        <v>20.362000000000002</v>
      </c>
      <c r="C82" s="23">
        <f t="shared" si="4"/>
        <v>571.08624999999995</v>
      </c>
      <c r="D82" s="9">
        <v>17.076000000000001</v>
      </c>
      <c r="E82" s="26">
        <f t="shared" si="5"/>
        <v>509.39875000000001</v>
      </c>
      <c r="F82" s="11">
        <v>16.316749999999999</v>
      </c>
      <c r="G82" s="23">
        <f t="shared" si="8"/>
        <v>850</v>
      </c>
      <c r="H82" s="9">
        <v>14.55425</v>
      </c>
      <c r="I82" s="26">
        <f t="shared" si="8"/>
        <v>758.3</v>
      </c>
      <c r="J82" s="11">
        <v>14.166666666666666</v>
      </c>
      <c r="K82" s="23">
        <f t="shared" si="6"/>
        <v>1460.99</v>
      </c>
      <c r="L82" s="9">
        <v>12.638333333333332</v>
      </c>
      <c r="M82" s="26">
        <f t="shared" si="7"/>
        <v>1291.49</v>
      </c>
      <c r="N82" s="11">
        <v>12.174916666666666</v>
      </c>
      <c r="O82" s="15">
        <v>10.762416666666667</v>
      </c>
      <c r="P82" s="14"/>
      <c r="Q82" s="13"/>
      <c r="S82" s="10">
        <v>850</v>
      </c>
      <c r="T82" s="9">
        <v>758.3</v>
      </c>
      <c r="U82" s="47">
        <v>4911.1089283960318</v>
      </c>
      <c r="V82" s="48">
        <v>5856.1724057156234</v>
      </c>
      <c r="W82" s="4"/>
      <c r="X82" s="8"/>
      <c r="Y82" s="56"/>
      <c r="Z82" s="57"/>
    </row>
    <row r="83" spans="1:26" x14ac:dyDescent="0.2">
      <c r="A83">
        <f t="shared" si="9"/>
        <v>78</v>
      </c>
      <c r="B83" s="10">
        <v>21.827999999999999</v>
      </c>
      <c r="C83" s="23">
        <f t="shared" si="4"/>
        <v>606.98750000000007</v>
      </c>
      <c r="D83" s="9">
        <v>18.302</v>
      </c>
      <c r="E83" s="26">
        <f t="shared" si="5"/>
        <v>545.97375</v>
      </c>
      <c r="F83" s="11">
        <v>17.342500000000001</v>
      </c>
      <c r="G83" s="23">
        <f t="shared" si="8"/>
        <v>903.55</v>
      </c>
      <c r="H83" s="9">
        <v>15.599250000000001</v>
      </c>
      <c r="I83" s="26">
        <f t="shared" si="8"/>
        <v>812.65</v>
      </c>
      <c r="J83" s="11">
        <v>15.059166666666666</v>
      </c>
      <c r="K83" s="23">
        <f t="shared" si="6"/>
        <v>1551.59</v>
      </c>
      <c r="L83" s="9">
        <v>13.544166666666666</v>
      </c>
      <c r="M83" s="26">
        <f t="shared" si="7"/>
        <v>1384.69</v>
      </c>
      <c r="N83" s="11">
        <v>12.929916666666665</v>
      </c>
      <c r="O83" s="15">
        <v>11.539083333333334</v>
      </c>
      <c r="P83" s="14"/>
      <c r="Q83" s="13"/>
      <c r="S83" s="10">
        <v>903.55</v>
      </c>
      <c r="T83" s="9">
        <v>812.65</v>
      </c>
      <c r="U83" s="47">
        <v>4581.2717610408654</v>
      </c>
      <c r="V83" s="48">
        <v>5463.8837285542559</v>
      </c>
      <c r="W83" s="4"/>
      <c r="X83" s="8"/>
      <c r="Y83" s="56"/>
      <c r="Z83" s="57"/>
    </row>
    <row r="84" spans="1:26" x14ac:dyDescent="0.2">
      <c r="A84">
        <f t="shared" si="9"/>
        <v>79</v>
      </c>
      <c r="B84" s="10">
        <v>23.41</v>
      </c>
      <c r="C84" s="23">
        <f t="shared" si="4"/>
        <v>645.57500000000005</v>
      </c>
      <c r="D84" s="9">
        <v>19.594666666666669</v>
      </c>
      <c r="E84" s="26">
        <f t="shared" si="5"/>
        <v>584.53499999999997</v>
      </c>
      <c r="F84" s="11">
        <v>18.445</v>
      </c>
      <c r="G84" s="23">
        <f t="shared" si="8"/>
        <v>960.85000000000014</v>
      </c>
      <c r="H84" s="9">
        <v>16.701000000000001</v>
      </c>
      <c r="I84" s="26">
        <f t="shared" si="8"/>
        <v>870.05</v>
      </c>
      <c r="J84" s="11">
        <v>16.014166666666668</v>
      </c>
      <c r="K84" s="23">
        <f t="shared" si="6"/>
        <v>1647.19</v>
      </c>
      <c r="L84" s="9">
        <v>14.500833333333333</v>
      </c>
      <c r="M84" s="26">
        <f t="shared" si="7"/>
        <v>1483.89</v>
      </c>
      <c r="N84" s="11">
        <v>13.726583333333334</v>
      </c>
      <c r="O84" s="15">
        <v>12.36575</v>
      </c>
      <c r="P84" s="14"/>
      <c r="Q84" s="13"/>
      <c r="S84" s="10">
        <v>960.85000000000014</v>
      </c>
      <c r="T84" s="9">
        <v>870.05</v>
      </c>
      <c r="U84" s="47">
        <v>4271.6787697565142</v>
      </c>
      <c r="V84" s="48">
        <v>5103.4295046271091</v>
      </c>
      <c r="W84" s="4"/>
      <c r="X84" s="8"/>
      <c r="Y84" s="56"/>
      <c r="Z84" s="57"/>
    </row>
    <row r="85" spans="1:26" ht="17" thickBot="1" x14ac:dyDescent="0.25">
      <c r="A85">
        <f t="shared" si="9"/>
        <v>80</v>
      </c>
      <c r="B85" s="16">
        <v>25.068666666666665</v>
      </c>
      <c r="C85" s="24">
        <f t="shared" si="4"/>
        <v>685.5100000000001</v>
      </c>
      <c r="D85" s="17">
        <v>20.956666666666667</v>
      </c>
      <c r="E85" s="27">
        <f t="shared" si="5"/>
        <v>625.1875</v>
      </c>
      <c r="F85" s="18">
        <v>19.586000000000002</v>
      </c>
      <c r="G85" s="24">
        <f>J85*60</f>
        <v>1020.3</v>
      </c>
      <c r="H85" s="17">
        <v>17.862500000000001</v>
      </c>
      <c r="I85" s="27">
        <f t="shared" si="8"/>
        <v>930.55</v>
      </c>
      <c r="J85" s="18">
        <v>17.004999999999999</v>
      </c>
      <c r="K85" s="24">
        <f>N85*120</f>
        <v>1747.59</v>
      </c>
      <c r="L85" s="17">
        <v>15.509166666666665</v>
      </c>
      <c r="M85" s="27">
        <f t="shared" si="7"/>
        <v>1588.89</v>
      </c>
      <c r="N85" s="18">
        <v>14.56325</v>
      </c>
      <c r="O85" s="19">
        <v>13.24075</v>
      </c>
      <c r="P85" s="20"/>
      <c r="Q85" s="21"/>
      <c r="S85" s="16">
        <v>1020.3</v>
      </c>
      <c r="T85" s="17">
        <v>930.55</v>
      </c>
      <c r="U85" s="49">
        <v>3989.0434273861129</v>
      </c>
      <c r="V85" s="50">
        <v>4771.7512327024015</v>
      </c>
      <c r="W85" s="41"/>
      <c r="X85" s="36"/>
      <c r="Y85" s="58"/>
      <c r="Z85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Graehme Middleton</dc:creator>
  <cp:lastModifiedBy>Graehme Middleton</cp:lastModifiedBy>
  <dcterms:created xsi:type="dcterms:W3CDTF">2025-10-06T21:35:18Z</dcterms:created>
  <dcterms:modified xsi:type="dcterms:W3CDTF">2026-02-12T00:29:56Z</dcterms:modified>
</cp:coreProperties>
</file>